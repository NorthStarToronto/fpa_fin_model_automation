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87D2671A-859E-4CA3-A983-0172F41DBDB7}" xr6:coauthVersionLast="47" xr6:coauthVersionMax="47" xr10:uidLastSave="{00000000-0000-0000-0000-000000000000}"/>
  <bookViews>
    <workbookView xWindow="-120" yWindow="-120" windowWidth="29040" windowHeight="15720" tabRatio="802" firstSheet="10" activeTab="14" xr2:uid="{ED6377EC-A122-43D9-A1FA-17E5AA1FE5E4}"/>
  </bookViews>
  <sheets>
    <sheet name="Sheet1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  <sheet name="Cash Budget" sheetId="38" r:id="rId13"/>
    <sheet name="5. Working Capital Budget" sheetId="39" r:id="rId14"/>
    <sheet name="6. Fixed Assets Budget" sheetId="40" r:id="rId15"/>
    <sheet name="7. Loan Repayment Schedule" sheetId="41" r:id="rId16"/>
    <sheet name="Master Budget" sheetId="42" r:id="rId17"/>
    <sheet name="Income Statement" sheetId="43" r:id="rId18"/>
    <sheet name="Balance Sheet" sheetId="44" r:id="rId19"/>
    <sheet name="Cash Flow Statement" sheetId="4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39" l="1"/>
  <c r="K15" i="39"/>
  <c r="J15" i="39"/>
  <c r="I15" i="39"/>
  <c r="L14" i="39"/>
  <c r="K14" i="39"/>
  <c r="J14" i="39"/>
  <c r="I14" i="39"/>
  <c r="F14" i="39"/>
  <c r="E14" i="39"/>
  <c r="D14" i="39"/>
  <c r="C14" i="39"/>
  <c r="M13" i="31" l="1"/>
  <c r="L13" i="31"/>
  <c r="K13" i="31"/>
  <c r="J13" i="31"/>
  <c r="I13" i="31"/>
  <c r="G13" i="31"/>
  <c r="F13" i="31"/>
  <c r="E13" i="31"/>
  <c r="D13" i="31"/>
  <c r="C13" i="31"/>
  <c r="L12" i="31"/>
  <c r="K12" i="31"/>
  <c r="J12" i="31"/>
  <c r="I12" i="31"/>
  <c r="M12" i="31" s="1"/>
  <c r="G12" i="31"/>
  <c r="F12" i="31"/>
  <c r="E12" i="31"/>
  <c r="D12" i="31"/>
  <c r="C12" i="31"/>
  <c r="L19" i="33"/>
  <c r="K19" i="33"/>
  <c r="J19" i="33"/>
  <c r="I19" i="33"/>
  <c r="M19" i="33" s="1"/>
  <c r="G19" i="33"/>
  <c r="F19" i="33"/>
  <c r="E19" i="33"/>
  <c r="D19" i="33"/>
  <c r="C19" i="33"/>
  <c r="J7" i="40"/>
  <c r="J12" i="40"/>
  <c r="J14" i="40" s="1"/>
  <c r="K7" i="40" s="1"/>
  <c r="I12" i="40"/>
  <c r="K13" i="40"/>
  <c r="L13" i="40" s="1"/>
  <c r="J13" i="40"/>
  <c r="I13" i="40"/>
  <c r="I7" i="40"/>
  <c r="F13" i="40"/>
  <c r="E13" i="40"/>
  <c r="D13" i="40"/>
  <c r="C13" i="40"/>
  <c r="C14" i="40"/>
  <c r="L9" i="40"/>
  <c r="K9" i="40"/>
  <c r="J9" i="40"/>
  <c r="I9" i="40"/>
  <c r="L10" i="40"/>
  <c r="K10" i="40"/>
  <c r="J10" i="40"/>
  <c r="I10" i="40"/>
  <c r="F10" i="40"/>
  <c r="E10" i="40"/>
  <c r="D10" i="40"/>
  <c r="C10" i="40"/>
  <c r="K14" i="40" l="1"/>
  <c r="L7" i="40" s="1"/>
  <c r="K12" i="40"/>
  <c r="L14" i="40" l="1"/>
  <c r="L12" i="40"/>
  <c r="G12" i="40" l="1"/>
  <c r="L5" i="40"/>
  <c r="K5" i="40"/>
  <c r="J5" i="40"/>
  <c r="I5" i="40"/>
  <c r="M5" i="40" s="1"/>
  <c r="F5" i="40"/>
  <c r="E5" i="40"/>
  <c r="D5" i="40"/>
  <c r="C5" i="40"/>
  <c r="G5" i="40" s="1"/>
  <c r="L8" i="39"/>
  <c r="K8" i="39"/>
  <c r="J8" i="39"/>
  <c r="I8" i="39"/>
  <c r="K9" i="39"/>
  <c r="L9" i="39" s="1"/>
  <c r="J9" i="39"/>
  <c r="I9" i="39"/>
  <c r="O5" i="40" l="1"/>
  <c r="M12" i="40"/>
  <c r="I14" i="40" l="1"/>
  <c r="M9" i="40" l="1"/>
  <c r="F16" i="39" l="1"/>
  <c r="E16" i="39"/>
  <c r="D16" i="39"/>
  <c r="C16" i="39"/>
  <c r="C9" i="39"/>
  <c r="L5" i="39"/>
  <c r="M5" i="39" s="1"/>
  <c r="K5" i="39"/>
  <c r="J5" i="39"/>
  <c r="I5" i="39"/>
  <c r="F5" i="39"/>
  <c r="F9" i="39" s="1"/>
  <c r="E5" i="39"/>
  <c r="G5" i="39" s="1"/>
  <c r="D5" i="39"/>
  <c r="D9" i="39" s="1"/>
  <c r="C5" i="39"/>
  <c r="G11" i="39"/>
  <c r="G8" i="39"/>
  <c r="E9" i="39" l="1"/>
  <c r="O5" i="39"/>
  <c r="G14" i="39"/>
  <c r="G16" i="39" l="1"/>
  <c r="L19" i="34" l="1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L11" i="31"/>
  <c r="K11" i="31"/>
  <c r="J11" i="31"/>
  <c r="I11" i="31"/>
  <c r="I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F6" i="31"/>
  <c r="F6" i="39" s="1"/>
  <c r="E6" i="31"/>
  <c r="D6" i="31"/>
  <c r="C7" i="31"/>
  <c r="C6" i="31"/>
  <c r="C6" i="39" s="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E6" i="39" l="1"/>
  <c r="E15" i="39" s="1"/>
  <c r="G6" i="31"/>
  <c r="G11" i="31"/>
  <c r="G10" i="31"/>
  <c r="G7" i="31"/>
  <c r="M11" i="31"/>
  <c r="F15" i="39"/>
  <c r="F12" i="39"/>
  <c r="I12" i="39" s="1"/>
  <c r="C15" i="39"/>
  <c r="C12" i="39"/>
  <c r="I6" i="39"/>
  <c r="D6" i="39"/>
  <c r="J11" i="34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6" i="39" s="1"/>
  <c r="L10" i="33"/>
  <c r="L9" i="36" s="1"/>
  <c r="L19" i="36" s="1"/>
  <c r="K9" i="36"/>
  <c r="K19" i="36" s="1"/>
  <c r="K12" i="33"/>
  <c r="K10" i="31" s="1"/>
  <c r="K6" i="39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E12" i="39" l="1"/>
  <c r="E18" i="39"/>
  <c r="O11" i="31"/>
  <c r="I11" i="39"/>
  <c r="J12" i="39"/>
  <c r="F18" i="39"/>
  <c r="C18" i="39"/>
  <c r="D15" i="39"/>
  <c r="D12" i="39"/>
  <c r="G6" i="39"/>
  <c r="G18" i="34"/>
  <c r="G12" i="34"/>
  <c r="M15" i="34"/>
  <c r="K9" i="34"/>
  <c r="J8" i="34"/>
  <c r="G15" i="34"/>
  <c r="I8" i="34"/>
  <c r="L20" i="33"/>
  <c r="M12" i="33"/>
  <c r="M20" i="33" s="1"/>
  <c r="M9" i="36"/>
  <c r="J19" i="36"/>
  <c r="M10" i="31"/>
  <c r="O13" i="31" s="1"/>
  <c r="L6" i="39"/>
  <c r="M8" i="36"/>
  <c r="O14" i="36"/>
  <c r="G18" i="36"/>
  <c r="O5" i="31"/>
  <c r="O6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D18" i="39" l="1"/>
  <c r="I18" i="39"/>
  <c r="M14" i="39"/>
  <c r="M6" i="39"/>
  <c r="O6" i="39" s="1"/>
  <c r="K12" i="39"/>
  <c r="J11" i="39"/>
  <c r="J16" i="39" s="1"/>
  <c r="I16" i="39"/>
  <c r="L9" i="34"/>
  <c r="L8" i="34" s="1"/>
  <c r="K8" i="34"/>
  <c r="M19" i="36"/>
  <c r="J21" i="36"/>
  <c r="K10" i="35"/>
  <c r="J18" i="35"/>
  <c r="J20" i="35"/>
  <c r="K11" i="35"/>
  <c r="K19" i="35" s="1"/>
  <c r="I20" i="35"/>
  <c r="O24" i="28"/>
  <c r="L12" i="39" l="1"/>
  <c r="L11" i="39" s="1"/>
  <c r="L16" i="39" s="1"/>
  <c r="K11" i="39"/>
  <c r="J18" i="39"/>
  <c r="M8" i="34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K16" i="39" l="1"/>
  <c r="M11" i="39"/>
  <c r="L18" i="39"/>
  <c r="K18" i="39"/>
  <c r="O19" i="34"/>
  <c r="L19" i="35"/>
  <c r="M19" i="35" s="1"/>
  <c r="M20" i="35"/>
  <c r="O20" i="35" s="1"/>
  <c r="M6" i="28"/>
  <c r="L20" i="35" l="1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  <c r="M8" i="39" l="1"/>
  <c r="M16" i="39" l="1"/>
  <c r="O16" i="39" s="1"/>
  <c r="G9" i="40"/>
  <c r="D7" i="40" l="1"/>
  <c r="D14" i="40" s="1"/>
  <c r="E7" i="40" l="1"/>
  <c r="E14" i="40" s="1"/>
  <c r="F7" i="40" l="1"/>
  <c r="F14" i="40" s="1"/>
</calcChain>
</file>

<file path=xl/sharedStrings.xml><?xml version="1.0" encoding="utf-8"?>
<sst xmlns="http://schemas.openxmlformats.org/spreadsheetml/2006/main" count="376" uniqueCount="131">
  <si>
    <t>Title Placeholder</t>
  </si>
  <si>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</si>
  <si>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</si>
  <si>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</si>
  <si>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</si>
  <si>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</si>
  <si>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</si>
  <si>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</si>
  <si>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</si>
  <si>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</si>
  <si>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</si>
  <si>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</si>
  <si>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</si>
  <si>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</si>
  <si>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</si>
  <si>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</si>
  <si>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</si>
  <si>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</si>
  <si>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</si>
  <si>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</si>
  <si>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</si>
  <si>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</si>
  <si>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</si>
  <si>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</si>
  <si>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</si>
  <si>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</si>
  <si>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</si>
  <si>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</si>
  <si>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</si>
  <si>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</si>
  <si>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</si>
  <si>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</si>
  <si>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</si>
  <si>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</si>
  <si>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</si>
  <si>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</si>
  <si>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</si>
  <si>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</si>
  <si>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</si>
  <si>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</si>
  <si>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</si>
  <si>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</si>
  <si>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</si>
  <si>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</si>
  <si>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</si>
  <si>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</si>
  <si>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</si>
  <si>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</si>
  <si>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</si>
  <si>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</si>
  <si>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</si>
  <si>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</si>
  <si>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</si>
  <si>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</si>
  <si>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</si>
  <si>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</si>
  <si>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</si>
  <si>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</si>
  <si>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</si>
  <si>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</si>
  <si>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</si>
  <si>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</si>
  <si>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</si>
  <si>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</si>
  <si>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</si>
  <si>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</si>
  <si>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</si>
  <si>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</si>
  <si>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</si>
  <si>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</si>
  <si>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</si>
  <si>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</si>
  <si>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</si>
  <si>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</si>
  <si>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</si>
  <si>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</si>
  <si>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</si>
  <si>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</si>
  <si>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</si>
  <si>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</si>
  <si>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</si>
  <si>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</si>
  <si>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</si>
  <si>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</si>
  <si>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</si>
  <si>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</si>
  <si>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</si>
  <si>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</si>
  <si>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</si>
  <si>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</si>
  <si>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</si>
  <si>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</si>
  <si>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</si>
  <si>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</si>
  <si>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</si>
  <si>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</si>
  <si>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</si>
  <si>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</si>
  <si>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</si>
  <si>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</si>
  <si>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</si>
  <si>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</si>
  <si>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</si>
  <si>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</si>
  <si>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</si>
  <si>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</si>
  <si>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</si>
  <si>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</si>
  <si>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</si>
  <si>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</si>
  <si>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</si>
  <si>
    <t>5) = 1) + 4) -3)</t>
  </si>
  <si>
    <t>Cash Budget</t>
  </si>
  <si>
    <t>Working Capital Budget</t>
  </si>
  <si>
    <t>Sales</t>
  </si>
  <si>
    <t>Account Receivable</t>
  </si>
  <si>
    <t>Inventory</t>
  </si>
  <si>
    <t>Account Payable</t>
  </si>
  <si>
    <t>Cash Conversion Cycle</t>
  </si>
  <si>
    <t>Total Working Capital</t>
  </si>
  <si>
    <t>Days of Sales Outstanding (DSO) in Days</t>
  </si>
  <si>
    <t>Days of Payable Outstanding (DPO) in Days</t>
  </si>
  <si>
    <t>Days of Inventory Outstanding (DIO) in Days</t>
  </si>
  <si>
    <t>Fixed Assets Budget</t>
  </si>
  <si>
    <t>PP&amp;E Net Amount - Beginning Balance</t>
  </si>
  <si>
    <t>PP&amp;E Net Amount - Ending Balance</t>
  </si>
  <si>
    <t>PP&amp;E Purchase</t>
  </si>
  <si>
    <t>Depreciation and Amortization</t>
  </si>
  <si>
    <t>as a % of PPE Net Amount - Beginning Balance</t>
  </si>
  <si>
    <t>Depreciation Expense</t>
  </si>
  <si>
    <t>Loan Repayment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</si>
</sst>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6" fontId="5" fillId="2" borderId="0" xfId="0" applyNumberFormat="1" applyFont="1" applyFill="1"/>
    <xf numFmtId="0" fontId="9" fillId="2" borderId="7" xfId="0" applyFont="1" applyFill="1" applyBorder="1"/>
    <xf numFmtId="166" fontId="4" fillId="2" borderId="0" xfId="0" applyNumberFormat="1" applyFont="1" applyFill="1"/>
    <xf numFmtId="166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7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7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  <xf numFmtId="1" fontId="4" fillId="2" borderId="0" xfId="2" applyNumberFormat="1" applyFont="1" applyFill="1"/>
    <xf numFmtId="9" fontId="5" fillId="2" borderId="0" xfId="2" applyNumberFormat="1" applyFont="1" applyFill="1"/>
    <xf numFmtId="9" fontId="9" fillId="2" borderId="0" xfId="2" applyNumberFormat="1" applyFont="1" applyFill="1"/>
    <xf numFmtId="9" fontId="10" fillId="2" borderId="0" xfId="2" applyFont="1" applyFill="1" applyBorder="1"/>
    <xf numFmtId="9" fontId="10" fillId="2" borderId="0" xfId="2" applyFont="1" applyFill="1" applyAlignment="1">
      <alignment horizontal="left"/>
    </xf>
    <xf numFmtId="0" fontId="11" fillId="2" borderId="0" xfId="0" applyFont="1" applyFill="1"/>
    <xf numFmtId="0" fontId="7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0" fontId="4" fillId="2" borderId="0" xfId="0" applyFont="1" applyFill="1" applyBorder="1"/>
    <xf numFmtId="9" fontId="4" fillId="2" borderId="0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8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9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19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20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17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33</v>
      </c>
    </row>
    <row r="11" spans="2:16" x14ac:dyDescent="0.2">
      <c r="B11" s="1"/>
    </row>
    <row r="12" spans="2:16" x14ac:dyDescent="0.2">
      <c r="B12" s="1" t="s">
        <v>16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11</v>
      </c>
      <c r="C13" s="9" t="s">
        <v>12</v>
      </c>
      <c r="D13" s="9" t="s">
        <v>13</v>
      </c>
      <c r="E13" s="9" t="s">
        <v>14</v>
      </c>
      <c r="F13" s="9" t="s">
        <v>15</v>
      </c>
      <c r="G13" s="9" t="s">
        <v>21</v>
      </c>
      <c r="I13" s="9" t="s">
        <v>12</v>
      </c>
      <c r="J13" s="9" t="s">
        <v>13</v>
      </c>
      <c r="K13" s="9" t="s">
        <v>14</v>
      </c>
      <c r="L13" s="9" t="s">
        <v>15</v>
      </c>
      <c r="M13" s="9" t="s">
        <v>22</v>
      </c>
      <c r="O13" s="9"/>
    </row>
    <row r="14" spans="2:16" x14ac:dyDescent="0.2">
      <c r="B14" s="5" t="s">
        <v>8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9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11</v>
      </c>
      <c r="C18" s="9" t="s">
        <v>12</v>
      </c>
      <c r="D18" s="9" t="s">
        <v>13</v>
      </c>
      <c r="E18" s="9" t="s">
        <v>14</v>
      </c>
      <c r="F18" s="9" t="s">
        <v>15</v>
      </c>
      <c r="G18" s="9"/>
      <c r="I18" s="9" t="s">
        <v>12</v>
      </c>
      <c r="J18" s="9" t="s">
        <v>13</v>
      </c>
      <c r="K18" s="9" t="s">
        <v>14</v>
      </c>
      <c r="L18" s="9" t="s">
        <v>15</v>
      </c>
      <c r="M18" s="9"/>
      <c r="O18" s="9"/>
    </row>
    <row r="19" spans="2:15" x14ac:dyDescent="0.2">
      <c r="B19" s="5" t="s">
        <v>8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9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18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27</v>
      </c>
    </row>
    <row r="24" spans="2:15" x14ac:dyDescent="0.2">
      <c r="B24" s="5" t="s">
        <v>28</v>
      </c>
      <c r="C24" s="25">
        <f>'1.a Bottom-up Approach'!O24</f>
        <v>0.1549480519480515</v>
      </c>
    </row>
    <row r="25" spans="2:15" x14ac:dyDescent="0.2">
      <c r="B25" s="24" t="s">
        <v>29</v>
      </c>
      <c r="C25" s="26">
        <f>'1.b Top-down Approach'!O7</f>
        <v>0.21266666666666656</v>
      </c>
    </row>
    <row r="26" spans="2:15" x14ac:dyDescent="0.2">
      <c r="B26" s="1" t="s">
        <v>30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6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31</v>
      </c>
    </row>
    <row r="6" spans="2:16" x14ac:dyDescent="0.2">
      <c r="B6" s="5" t="s">
        <v>7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31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8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9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19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34</v>
      </c>
    </row>
    <row r="12" spans="2:16" x14ac:dyDescent="0.2">
      <c r="B12" s="5" t="s">
        <v>20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17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16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11</v>
      </c>
      <c r="C16" s="9" t="s">
        <v>12</v>
      </c>
      <c r="D16" s="9" t="s">
        <v>13</v>
      </c>
      <c r="E16" s="9" t="s">
        <v>14</v>
      </c>
      <c r="F16" s="9" t="s">
        <v>15</v>
      </c>
      <c r="G16" s="9" t="s">
        <v>21</v>
      </c>
      <c r="I16" s="9" t="s">
        <v>12</v>
      </c>
      <c r="J16" s="9" t="s">
        <v>13</v>
      </c>
      <c r="K16" s="9" t="s">
        <v>14</v>
      </c>
      <c r="L16" s="9" t="s">
        <v>15</v>
      </c>
      <c r="M16" s="9" t="s">
        <v>22</v>
      </c>
      <c r="O16" s="9"/>
    </row>
    <row r="17" spans="2:16" x14ac:dyDescent="0.2">
      <c r="B17" s="5" t="s">
        <v>8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9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35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11</v>
      </c>
      <c r="C21" s="9" t="s">
        <v>12</v>
      </c>
      <c r="D21" s="9" t="s">
        <v>13</v>
      </c>
      <c r="E21" s="9" t="s">
        <v>14</v>
      </c>
      <c r="F21" s="9" t="s">
        <v>15</v>
      </c>
      <c r="G21" s="9"/>
      <c r="I21" s="9" t="s">
        <v>12</v>
      </c>
      <c r="J21" s="9" t="s">
        <v>13</v>
      </c>
      <c r="K21" s="9" t="s">
        <v>14</v>
      </c>
      <c r="L21" s="9" t="s">
        <v>15</v>
      </c>
      <c r="M21" s="9"/>
      <c r="O21" s="9"/>
    </row>
    <row r="22" spans="2:16" x14ac:dyDescent="0.2">
      <c r="B22" s="5" t="s">
        <v>8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9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18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>
      <selection activeCell="B3" sqref="B3"/>
    </sheetView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4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26</v>
      </c>
    </row>
    <row r="5" spans="2:16" x14ac:dyDescent="0.2">
      <c r="B5" s="5" t="s">
        <v>24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32</v>
      </c>
    </row>
    <row r="6" spans="2:16" x14ac:dyDescent="0.2">
      <c r="B6" s="5" t="s">
        <v>25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3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workbookViewId="0">
      <selection activeCell="U25" sqref="U25"/>
    </sheetView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3" t="s">
        <v>2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38</v>
      </c>
    </row>
    <row r="6" spans="2:16" x14ac:dyDescent="0.2">
      <c r="B6" s="5" t="s">
        <v>8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9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42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39</v>
      </c>
    </row>
    <row r="10" spans="2:16" x14ac:dyDescent="0.2">
      <c r="B10" s="5" t="s">
        <v>8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9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40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45</v>
      </c>
    </row>
    <row r="14" spans="2:16" x14ac:dyDescent="0.2">
      <c r="B14" s="5" t="s">
        <v>8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9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41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8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8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48</v>
      </c>
    </row>
    <row r="19" spans="2:16" x14ac:dyDescent="0.2">
      <c r="B19" s="5" t="s">
        <v>9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111</v>
      </c>
    </row>
    <row r="22" spans="2:16" x14ac:dyDescent="0.2">
      <c r="B22" s="5" t="s">
        <v>8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9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44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5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98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0.19774140271554463</v>
      </c>
      <c r="P5" s="1"/>
    </row>
    <row r="6" spans="2:16" x14ac:dyDescent="0.2">
      <c r="B6" s="5" t="s">
        <v>73</v>
      </c>
      <c r="C6" s="60">
        <f>'3.1 Direct Material Budget'!C20</f>
        <v>-259417.5</v>
      </c>
      <c r="D6" s="60">
        <f>'3.1 Direct Material Budget'!D20</f>
        <v>-499395</v>
      </c>
      <c r="E6" s="60">
        <f>'3.1 Direct Material Budget'!E20</f>
        <v>-579150</v>
      </c>
      <c r="F6" s="60">
        <f>'3.1 Direct Material Budget'!F20</f>
        <v>-55500</v>
      </c>
      <c r="G6" s="61">
        <f>SUM(C6:F6)</f>
        <v>-1393462.5</v>
      </c>
      <c r="I6" s="60">
        <f>'3.1 Direct Material Budget'!I20</f>
        <v>-346473.51999999996</v>
      </c>
      <c r="J6" s="60">
        <f>'3.1 Direct Material Budget'!J20</f>
        <v>-559050.48</v>
      </c>
      <c r="K6" s="60">
        <f>'3.1 Direct Material Budget'!K20</f>
        <v>-697811.79999999993</v>
      </c>
      <c r="L6" s="60">
        <f>'3.1 Direct Material Budget'!L20</f>
        <v>-65568.639999999985</v>
      </c>
      <c r="M6" s="61">
        <f>SUM(I6:L6)</f>
        <v>-1668904.4399999997</v>
      </c>
      <c r="O6" s="18">
        <f>M6/G6-1</f>
        <v>0.19766727845205723</v>
      </c>
    </row>
    <row r="7" spans="2:16" x14ac:dyDescent="0.2">
      <c r="B7" s="5" t="s">
        <v>74</v>
      </c>
      <c r="C7" s="60">
        <f>'3.2 Direct Labor Budget'!C24</f>
        <v>-746100</v>
      </c>
      <c r="D7" s="60">
        <f>'3.2 Direct Labor Budget'!D24</f>
        <v>-1437840</v>
      </c>
      <c r="E7" s="60">
        <f>'3.2 Direct Labor Budget'!E24</f>
        <v>-1666800</v>
      </c>
      <c r="F7" s="60">
        <f>'3.2 Direct Labor Budget'!F24</f>
        <v>-162000</v>
      </c>
      <c r="G7" s="61">
        <f>SUM(C7:F7)</f>
        <v>-4012740</v>
      </c>
      <c r="I7" s="60">
        <f>'3.2 Direct Labor Budget'!I24</f>
        <v>-997127.29142857122</v>
      </c>
      <c r="J7" s="60">
        <f>'3.2 Direct Labor Budget'!J24</f>
        <v>-1609296.7085714284</v>
      </c>
      <c r="K7" s="60">
        <f>'3.2 Direct Labor Budget'!K24</f>
        <v>-2009154.7999999998</v>
      </c>
      <c r="L7" s="60">
        <f>'3.2 Direct Labor Budget'!L24</f>
        <v>-190749.32571428566</v>
      </c>
      <c r="M7" s="61">
        <f>SUM(I7:L7)</f>
        <v>-4806328.1257142844</v>
      </c>
      <c r="O7" s="18">
        <f t="shared" ref="O7" si="0">M7/G7-1</f>
        <v>0.19776714307786802</v>
      </c>
    </row>
    <row r="8" spans="2:16" x14ac:dyDescent="0.2">
      <c r="C8" s="60"/>
      <c r="D8" s="60"/>
      <c r="E8" s="60"/>
      <c r="F8" s="60"/>
      <c r="O8" s="15"/>
    </row>
    <row r="9" spans="2:16" x14ac:dyDescent="0.2">
      <c r="B9" s="2" t="s">
        <v>99</v>
      </c>
      <c r="C9" s="60"/>
      <c r="D9" s="60"/>
      <c r="E9" s="60"/>
      <c r="F9" s="60"/>
      <c r="O9" s="15"/>
    </row>
    <row r="10" spans="2:16" x14ac:dyDescent="0.2">
      <c r="B10" s="41" t="s">
        <v>75</v>
      </c>
      <c r="C10" s="60">
        <f>'3.3 Overhead Budget'!C12</f>
        <v>-100000</v>
      </c>
      <c r="D10" s="60">
        <f>'3.3 Overhead Budget'!D12</f>
        <v>-100000</v>
      </c>
      <c r="E10" s="60">
        <f>'3.3 Overhead Budget'!E12</f>
        <v>-100000</v>
      </c>
      <c r="F10" s="60">
        <f>'3.3 Overhead Budget'!F12</f>
        <v>-100000</v>
      </c>
      <c r="G10" s="61">
        <f>SUM(C10:F10)</f>
        <v>-400000</v>
      </c>
      <c r="H10" s="41"/>
      <c r="I10" s="60">
        <f>'3.3 Overhead Budget'!I12</f>
        <v>-120000</v>
      </c>
      <c r="J10" s="60">
        <f>'3.3 Overhead Budget'!J12</f>
        <v>-120000</v>
      </c>
      <c r="K10" s="60">
        <f>'3.3 Overhead Budget'!K12</f>
        <v>-120000</v>
      </c>
      <c r="L10" s="60">
        <f>'3.3 Overhead Budget'!L12</f>
        <v>-120000</v>
      </c>
      <c r="M10" s="61">
        <f>SUM(I10:L10)</f>
        <v>-480000</v>
      </c>
      <c r="N10" s="41"/>
      <c r="O10" s="15"/>
      <c r="P10" s="1"/>
    </row>
    <row r="11" spans="2:16" x14ac:dyDescent="0.2">
      <c r="B11" s="41" t="s">
        <v>65</v>
      </c>
      <c r="C11" s="60">
        <f>'3.3 Overhead Budget'!C17</f>
        <v>-31087.5</v>
      </c>
      <c r="D11" s="60">
        <f>'3.3 Overhead Budget'!D17</f>
        <v>-59910</v>
      </c>
      <c r="E11" s="60">
        <f>'3.3 Overhead Budget'!E17</f>
        <v>-69450</v>
      </c>
      <c r="F11" s="60">
        <f>'3.3 Overhead Budget'!F17</f>
        <v>-6750</v>
      </c>
      <c r="G11" s="61">
        <f>SUM(C11:F11)</f>
        <v>-167197.5</v>
      </c>
      <c r="H11" s="41"/>
      <c r="I11" s="60">
        <f>'3.3 Overhead Budget'!I17</f>
        <v>-41546.970476190472</v>
      </c>
      <c r="J11" s="60">
        <f>'3.3 Overhead Budget'!J17</f>
        <v>-67054.029523809513</v>
      </c>
      <c r="K11" s="60">
        <f>'3.3 Overhead Budget'!K17</f>
        <v>-83714.783333333326</v>
      </c>
      <c r="L11" s="60">
        <f>'3.3 Overhead Budget'!L17</f>
        <v>-7947.8885714285689</v>
      </c>
      <c r="M11" s="61">
        <f>SUM(I11:L11)</f>
        <v>-200263.6719047619</v>
      </c>
      <c r="N11" s="41"/>
      <c r="O11" s="18">
        <f>M11/G11-1</f>
        <v>0.19776714307786847</v>
      </c>
      <c r="P11" s="41"/>
    </row>
    <row r="12" spans="2:16" x14ac:dyDescent="0.2">
      <c r="B12" s="41" t="s">
        <v>129</v>
      </c>
      <c r="C12" s="60">
        <f>'3.3 Overhead Budget'!C19</f>
        <v>-102000</v>
      </c>
      <c r="D12" s="60">
        <f>'3.3 Overhead Budget'!D19</f>
        <v>-114583.35</v>
      </c>
      <c r="E12" s="60">
        <f>'3.3 Overhead Budget'!E19</f>
        <v>-130000</v>
      </c>
      <c r="F12" s="60">
        <f>'3.3 Overhead Budget'!F19</f>
        <v>-140000</v>
      </c>
      <c r="G12" s="61">
        <f>SUM(C12:F12)</f>
        <v>-486583.35</v>
      </c>
      <c r="H12" s="41"/>
      <c r="I12" s="60">
        <f>'3.3 Overhead Budget'!I19</f>
        <v>-137693.8282306412</v>
      </c>
      <c r="J12" s="60">
        <f>'3.3 Overhead Budget'!J19</f>
        <v>-157440.83445501066</v>
      </c>
      <c r="K12" s="60">
        <f>'3.3 Overhead Budget'!K19</f>
        <v>-186587.72685605849</v>
      </c>
      <c r="L12" s="60">
        <f>'3.3 Overhead Budget'!L19</f>
        <v>-223177.8993776679</v>
      </c>
      <c r="M12" s="61">
        <f>SUM(I12:L12)</f>
        <v>-704900.2889193783</v>
      </c>
      <c r="N12" s="41"/>
      <c r="O12" s="18"/>
      <c r="P12" s="41"/>
    </row>
    <row r="13" spans="2:16" ht="12.75" thickBot="1" x14ac:dyDescent="0.25">
      <c r="B13" s="45" t="s">
        <v>72</v>
      </c>
      <c r="C13" s="46">
        <f>SUM(C6:C7)+SUM(C10:C12)</f>
        <v>-1238605</v>
      </c>
      <c r="D13" s="46">
        <f t="shared" ref="D13:F13" si="1">SUM(D6:D7)+SUM(D10:D12)</f>
        <v>-2211728.35</v>
      </c>
      <c r="E13" s="46">
        <f t="shared" si="1"/>
        <v>-2545400</v>
      </c>
      <c r="F13" s="46">
        <f t="shared" si="1"/>
        <v>-464250</v>
      </c>
      <c r="G13" s="46">
        <f>SUM(G6:G7)+SUM(G10:G12)</f>
        <v>-6459983.3499999996</v>
      </c>
      <c r="I13" s="46">
        <f>SUM(I6:I7)+SUM(I10:I12)</f>
        <v>-1642841.6101354028</v>
      </c>
      <c r="J13" s="46">
        <f t="shared" ref="J13" si="2">SUM(J6:J7)+SUM(J10:J12)</f>
        <v>-2512842.0525502488</v>
      </c>
      <c r="K13" s="46">
        <f t="shared" ref="K13" si="3">SUM(K6:K7)+SUM(K10:K12)</f>
        <v>-3097269.1101893913</v>
      </c>
      <c r="L13" s="46">
        <f t="shared" ref="L13" si="4">SUM(L6:L7)+SUM(L10:L12)</f>
        <v>-607443.75366338214</v>
      </c>
      <c r="M13" s="46">
        <f>SUM(M6:M7)+SUM(M10:M12)</f>
        <v>-7860396.5265384242</v>
      </c>
      <c r="O13" s="21">
        <f>M13/G13-1</f>
        <v>0.21678278420615826</v>
      </c>
      <c r="P13" s="1" t="s">
        <v>76</v>
      </c>
    </row>
    <row r="14" spans="2:16" s="81" customFormat="1" x14ac:dyDescent="0.2"/>
    <row r="15" spans="2:16" s="81" customFormat="1" x14ac:dyDescent="0.2">
      <c r="G15" s="82"/>
      <c r="M15" s="8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101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55</v>
      </c>
      <c r="O9" s="15"/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1">
        <v>0.3</v>
      </c>
      <c r="I10" s="41">
        <f>G10</f>
        <v>0.3</v>
      </c>
      <c r="J10" s="41">
        <f>I10</f>
        <v>0.3</v>
      </c>
      <c r="K10" s="41">
        <f t="shared" ref="K10:L11" si="1">J10</f>
        <v>0.3</v>
      </c>
      <c r="L10" s="41">
        <f t="shared" si="1"/>
        <v>0.3</v>
      </c>
      <c r="O10" s="15"/>
      <c r="P10" s="1" t="s">
        <v>39</v>
      </c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1">
        <v>0.3</v>
      </c>
      <c r="I11" s="41">
        <f>G11</f>
        <v>0.3</v>
      </c>
      <c r="J11" s="41">
        <f>I11</f>
        <v>0.3</v>
      </c>
      <c r="K11" s="41">
        <f t="shared" si="1"/>
        <v>0.3</v>
      </c>
      <c r="L11" s="41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56</v>
      </c>
      <c r="O13" s="15"/>
    </row>
    <row r="14" spans="2:16" s="5" customFormat="1" x14ac:dyDescent="0.2">
      <c r="B14" s="5" t="s">
        <v>8</v>
      </c>
      <c r="C14" s="47">
        <v>-4</v>
      </c>
      <c r="D14" s="47">
        <v>-4</v>
      </c>
      <c r="E14" s="47">
        <v>-4</v>
      </c>
      <c r="F14" s="47">
        <v>-4</v>
      </c>
      <c r="G14" s="47">
        <f>G18/(G6*G10)</f>
        <v>-4</v>
      </c>
      <c r="I14" s="47">
        <f>F14</f>
        <v>-4</v>
      </c>
      <c r="J14" s="47">
        <f>I14</f>
        <v>-4</v>
      </c>
      <c r="K14" s="47">
        <f t="shared" ref="K14:L15" si="2">J14</f>
        <v>-4</v>
      </c>
      <c r="L14" s="47">
        <f t="shared" si="2"/>
        <v>-4</v>
      </c>
      <c r="O14" s="15"/>
      <c r="P14" s="2" t="s">
        <v>45</v>
      </c>
    </row>
    <row r="15" spans="2:16" s="5" customFormat="1" x14ac:dyDescent="0.2">
      <c r="B15" s="5" t="s">
        <v>9</v>
      </c>
      <c r="C15" s="47">
        <v>-4.5</v>
      </c>
      <c r="D15" s="47">
        <v>-4.5</v>
      </c>
      <c r="E15" s="47">
        <v>-4.5</v>
      </c>
      <c r="F15" s="47">
        <v>-4.5</v>
      </c>
      <c r="G15" s="47">
        <f>G19/(G7*G11)</f>
        <v>-4.5</v>
      </c>
      <c r="I15" s="47">
        <f>F15</f>
        <v>-4.5</v>
      </c>
      <c r="J15" s="47">
        <f>I15</f>
        <v>-4.5</v>
      </c>
      <c r="K15" s="47">
        <f t="shared" si="2"/>
        <v>-4.5</v>
      </c>
      <c r="L15" s="47">
        <f t="shared" si="2"/>
        <v>-4.5</v>
      </c>
      <c r="O15" s="15"/>
    </row>
    <row r="16" spans="2:16" x14ac:dyDescent="0.2">
      <c r="B16" s="2"/>
      <c r="O16" s="15"/>
    </row>
    <row r="17" spans="2:16" x14ac:dyDescent="0.2">
      <c r="B17" s="2" t="s">
        <v>100</v>
      </c>
      <c r="C17" s="5"/>
      <c r="D17" s="5"/>
      <c r="E17" s="5"/>
      <c r="F17" s="5"/>
      <c r="G17" s="5"/>
      <c r="O17" s="2"/>
      <c r="P17" s="1" t="s">
        <v>60</v>
      </c>
    </row>
    <row r="18" spans="2:16" x14ac:dyDescent="0.2">
      <c r="B18" s="5" t="s">
        <v>8</v>
      </c>
      <c r="C18" s="43">
        <f>C$6*C$10*C$14</f>
        <v>-162960</v>
      </c>
      <c r="D18" s="43">
        <f>D$6*D$10*D$14</f>
        <v>-318360</v>
      </c>
      <c r="E18" s="43">
        <f>E$6*E$10*E$14</f>
        <v>-367200</v>
      </c>
      <c r="F18" s="43">
        <f>F$6*F$10*F$14</f>
        <v>-42000</v>
      </c>
      <c r="G18" s="44">
        <f>SUM(C18:F18)</f>
        <v>-890520</v>
      </c>
      <c r="I18" s="43">
        <f>I$6*I$10*I$14</f>
        <v>-219593.71428571426</v>
      </c>
      <c r="J18" s="43">
        <f>J$6*J$10*J$14</f>
        <v>-355486.28571428568</v>
      </c>
      <c r="K18" s="43">
        <f>K$6*K$10*K$14</f>
        <v>-444969.99999999994</v>
      </c>
      <c r="L18" s="43">
        <f>L$6*L$10*L$14</f>
        <v>-47698.85714285713</v>
      </c>
      <c r="M18" s="44">
        <f>SUM(I18:L18)</f>
        <v>-1067748.857142857</v>
      </c>
      <c r="O18" s="18"/>
    </row>
    <row r="19" spans="2:16" x14ac:dyDescent="0.2">
      <c r="B19" s="5" t="s">
        <v>9</v>
      </c>
      <c r="C19" s="43">
        <f>C$7*C$11*C$15</f>
        <v>-96457.5</v>
      </c>
      <c r="D19" s="43">
        <f>D$7*D$11*D$15</f>
        <v>-181035</v>
      </c>
      <c r="E19" s="43">
        <f>E$7*E$11*E$15</f>
        <v>-211950</v>
      </c>
      <c r="F19" s="43">
        <f>F$7*F$11*F$15</f>
        <v>-13500</v>
      </c>
      <c r="G19" s="44">
        <f t="shared" ref="G19" si="3">SUM(C19:F19)</f>
        <v>-502942.5</v>
      </c>
      <c r="I19" s="43">
        <f>I$7*I$11*I$15</f>
        <v>-126879.80571428569</v>
      </c>
      <c r="J19" s="43">
        <f>J$7*J$11*J$15</f>
        <v>-203564.19428571427</v>
      </c>
      <c r="K19" s="43">
        <f>K$7*K$11*K$15</f>
        <v>-252841.8</v>
      </c>
      <c r="L19" s="43">
        <f>L$7*L$11*L$15</f>
        <v>-17869.782857142847</v>
      </c>
      <c r="M19" s="44">
        <f t="shared" ref="M19" si="4">SUM(I19:L19)</f>
        <v>-601155.58285714278</v>
      </c>
      <c r="O19" s="18"/>
    </row>
    <row r="20" spans="2:16" ht="12.75" thickBot="1" x14ac:dyDescent="0.25">
      <c r="B20" s="45" t="s">
        <v>57</v>
      </c>
      <c r="C20" s="46">
        <f>SUM(C18:C19)</f>
        <v>-259417.5</v>
      </c>
      <c r="D20" s="46">
        <f t="shared" ref="D20:F20" si="5">SUM(D18:D19)</f>
        <v>-499395</v>
      </c>
      <c r="E20" s="46">
        <f t="shared" si="5"/>
        <v>-579150</v>
      </c>
      <c r="F20" s="46">
        <f t="shared" si="5"/>
        <v>-55500</v>
      </c>
      <c r="G20" s="46">
        <f>SUM(G18:G19)</f>
        <v>-1393462.5</v>
      </c>
      <c r="I20" s="46">
        <f>SUM(I18:I19)</f>
        <v>-346473.51999999996</v>
      </c>
      <c r="J20" s="46">
        <f>SUM(J18:J19)</f>
        <v>-559050.48</v>
      </c>
      <c r="K20" s="46">
        <f t="shared" ref="K20:L20" si="6">SUM(K18:K19)</f>
        <v>-697811.79999999993</v>
      </c>
      <c r="L20" s="46">
        <f t="shared" si="6"/>
        <v>-65568.639999999985</v>
      </c>
      <c r="M20" s="46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49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51</v>
      </c>
      <c r="O9" s="15"/>
      <c r="P9" s="1" t="s">
        <v>39</v>
      </c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2">
        <f>G$14/G$6</f>
        <v>0.3</v>
      </c>
      <c r="I10" s="41">
        <f>G10</f>
        <v>0.3</v>
      </c>
      <c r="J10" s="41">
        <f>I10</f>
        <v>0.3</v>
      </c>
      <c r="K10" s="41">
        <f t="shared" ref="K10:L10" si="1">J10</f>
        <v>0.3</v>
      </c>
      <c r="L10" s="41">
        <f t="shared" si="1"/>
        <v>0.3</v>
      </c>
      <c r="O10" s="15"/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2">
        <f>G$15/G$7</f>
        <v>0.3</v>
      </c>
      <c r="I11" s="41">
        <f>G11</f>
        <v>0.3</v>
      </c>
      <c r="J11" s="41">
        <f>I11</f>
        <v>0.3</v>
      </c>
      <c r="K11" s="41">
        <f t="shared" ref="K11:L11" si="2">J11</f>
        <v>0.3</v>
      </c>
      <c r="L11" s="41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52</v>
      </c>
      <c r="O13" s="15"/>
    </row>
    <row r="14" spans="2:16" s="5" customFormat="1" x14ac:dyDescent="0.2">
      <c r="B14" s="5" t="s">
        <v>8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58</v>
      </c>
    </row>
    <row r="15" spans="2:16" s="5" customFormat="1" x14ac:dyDescent="0.2">
      <c r="B15" s="5" t="s">
        <v>9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2" t="s">
        <v>53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46</v>
      </c>
    </row>
    <row r="18" spans="2:16" s="5" customFormat="1" x14ac:dyDescent="0.2">
      <c r="B18" s="5" t="s">
        <v>8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9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2"/>
      <c r="O20" s="15"/>
    </row>
    <row r="21" spans="2:16" x14ac:dyDescent="0.2">
      <c r="B21" s="2" t="s">
        <v>81</v>
      </c>
      <c r="C21" s="5"/>
      <c r="D21" s="5"/>
      <c r="E21" s="5"/>
      <c r="F21" s="5"/>
      <c r="G21" s="5"/>
      <c r="O21" s="2"/>
      <c r="P21" s="1" t="s">
        <v>59</v>
      </c>
    </row>
    <row r="22" spans="2:16" x14ac:dyDescent="0.2">
      <c r="B22" s="5" t="s">
        <v>8</v>
      </c>
      <c r="C22" s="43">
        <f>C$14*C$18</f>
        <v>-488880</v>
      </c>
      <c r="D22" s="43">
        <f t="shared" ref="D22:F22" si="12">D$14*D$18</f>
        <v>-955080</v>
      </c>
      <c r="E22" s="43">
        <f t="shared" si="12"/>
        <v>-1101600</v>
      </c>
      <c r="F22" s="43">
        <f t="shared" si="12"/>
        <v>-126000</v>
      </c>
      <c r="G22" s="44">
        <f>SUM(C22:F22)</f>
        <v>-2671560</v>
      </c>
      <c r="I22" s="43">
        <f>I$14*I$18</f>
        <v>-658781.14285714272</v>
      </c>
      <c r="J22" s="43">
        <f>J$14*J$18</f>
        <v>-1066458.857142857</v>
      </c>
      <c r="K22" s="43">
        <f t="shared" ref="K22:L22" si="13">K$14*K$18</f>
        <v>-1334909.9999999998</v>
      </c>
      <c r="L22" s="43">
        <f t="shared" si="13"/>
        <v>-143096.57142857139</v>
      </c>
      <c r="M22" s="44">
        <f>SUM(I22:L22)</f>
        <v>-3203246.5714285709</v>
      </c>
      <c r="O22" s="18"/>
    </row>
    <row r="23" spans="2:16" x14ac:dyDescent="0.2">
      <c r="B23" s="5" t="s">
        <v>9</v>
      </c>
      <c r="C23" s="43">
        <f>C$15*C$19</f>
        <v>-257220</v>
      </c>
      <c r="D23" s="43">
        <f t="shared" ref="D23:F23" si="14">D$15*D$19</f>
        <v>-482760</v>
      </c>
      <c r="E23" s="43">
        <f t="shared" si="14"/>
        <v>-565200</v>
      </c>
      <c r="F23" s="43">
        <f t="shared" si="14"/>
        <v>-36000</v>
      </c>
      <c r="G23" s="44">
        <f t="shared" ref="G23" si="15">SUM(C23:F23)</f>
        <v>-1341180</v>
      </c>
      <c r="I23" s="43">
        <f>I$15*I$19</f>
        <v>-338346.14857142849</v>
      </c>
      <c r="J23" s="43">
        <f>J$15*J$19</f>
        <v>-542837.85142857139</v>
      </c>
      <c r="K23" s="43">
        <f t="shared" ref="K23:L23" si="16">K$15*K$19</f>
        <v>-674244.8</v>
      </c>
      <c r="L23" s="43">
        <f t="shared" si="16"/>
        <v>-47652.754285714262</v>
      </c>
      <c r="M23" s="44">
        <f t="shared" ref="M23" si="17">SUM(I23:L23)</f>
        <v>-1603081.5542857142</v>
      </c>
      <c r="O23" s="18"/>
    </row>
    <row r="24" spans="2:16" ht="12.75" thickBot="1" x14ac:dyDescent="0.25">
      <c r="B24" s="45" t="s">
        <v>54</v>
      </c>
      <c r="C24" s="46">
        <f>SUM(C22:C23)</f>
        <v>-746100</v>
      </c>
      <c r="D24" s="46">
        <f t="shared" ref="D24:F24" si="18">SUM(D22:D23)</f>
        <v>-1437840</v>
      </c>
      <c r="E24" s="46">
        <f t="shared" si="18"/>
        <v>-1666800</v>
      </c>
      <c r="F24" s="46">
        <f t="shared" si="18"/>
        <v>-162000</v>
      </c>
      <c r="G24" s="46">
        <f>SUM(G22:G23)</f>
        <v>-4012740</v>
      </c>
      <c r="I24" s="46">
        <f>SUM(I22:I23)</f>
        <v>-997127.29142857122</v>
      </c>
      <c r="J24" s="46">
        <f>SUM(J22:J23)</f>
        <v>-1609296.7085714284</v>
      </c>
      <c r="K24" s="46">
        <f t="shared" ref="K24" si="19">SUM(K22:K23)</f>
        <v>-2009154.7999999998</v>
      </c>
      <c r="L24" s="46">
        <f t="shared" ref="L24" si="20">SUM(L22:L23)</f>
        <v>-190749.32571428566</v>
      </c>
      <c r="M24" s="46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49"/>
      <c r="O8" s="15"/>
    </row>
    <row r="9" spans="2:16" x14ac:dyDescent="0.2">
      <c r="B9" s="2" t="s">
        <v>94</v>
      </c>
      <c r="O9" s="15"/>
      <c r="P9" s="1" t="s">
        <v>39</v>
      </c>
    </row>
    <row r="10" spans="2:16" x14ac:dyDescent="0.2">
      <c r="B10" s="41" t="s">
        <v>62</v>
      </c>
      <c r="C10" s="41">
        <v>5</v>
      </c>
      <c r="D10" s="41">
        <v>5</v>
      </c>
      <c r="E10" s="41">
        <v>5</v>
      </c>
      <c r="F10" s="41">
        <v>5</v>
      </c>
      <c r="G10" s="42">
        <f>AVERAGE(C10:F10)</f>
        <v>5</v>
      </c>
      <c r="H10" s="41"/>
      <c r="I10" s="41">
        <v>6</v>
      </c>
      <c r="J10" s="41">
        <f>I10</f>
        <v>6</v>
      </c>
      <c r="K10" s="41">
        <f t="shared" ref="K10:L10" si="1">J10</f>
        <v>6</v>
      </c>
      <c r="L10" s="41">
        <f t="shared" si="1"/>
        <v>6</v>
      </c>
      <c r="M10" s="42">
        <f>AVERAGE(I10:L10)</f>
        <v>6</v>
      </c>
      <c r="N10" s="41"/>
      <c r="O10" s="18">
        <f>M10/G10-1</f>
        <v>0.19999999999999996</v>
      </c>
      <c r="P10" s="41"/>
    </row>
    <row r="11" spans="2:16" x14ac:dyDescent="0.2">
      <c r="B11" s="41" t="s">
        <v>63</v>
      </c>
      <c r="C11" s="51">
        <v>-20000</v>
      </c>
      <c r="D11" s="51">
        <v>-20000</v>
      </c>
      <c r="E11" s="51">
        <v>-20000</v>
      </c>
      <c r="F11" s="51">
        <v>-20000</v>
      </c>
      <c r="G11" s="52">
        <f>AVERAGE(C11:F11)</f>
        <v>-20000</v>
      </c>
      <c r="H11" s="41"/>
      <c r="I11" s="58">
        <f>G11</f>
        <v>-20000</v>
      </c>
      <c r="J11" s="51">
        <f>I11</f>
        <v>-20000</v>
      </c>
      <c r="K11" s="51">
        <f t="shared" ref="K11:L11" si="2">J11</f>
        <v>-20000</v>
      </c>
      <c r="L11" s="51">
        <f t="shared" si="2"/>
        <v>-20000</v>
      </c>
      <c r="M11" s="52">
        <f>AVERAGE(I11:L11)</f>
        <v>-20000</v>
      </c>
      <c r="N11" s="41"/>
      <c r="O11" s="15"/>
      <c r="P11" s="41"/>
    </row>
    <row r="12" spans="2:16" x14ac:dyDescent="0.2">
      <c r="B12" s="48" t="s">
        <v>64</v>
      </c>
      <c r="C12" s="55">
        <f>C10*C11</f>
        <v>-100000</v>
      </c>
      <c r="D12" s="55">
        <f t="shared" ref="D12:F12" si="3">D10*D11</f>
        <v>-100000</v>
      </c>
      <c r="E12" s="55">
        <f t="shared" si="3"/>
        <v>-100000</v>
      </c>
      <c r="F12" s="55">
        <f t="shared" si="3"/>
        <v>-100000</v>
      </c>
      <c r="G12" s="57">
        <f>SUM(C12:F12)</f>
        <v>-400000</v>
      </c>
      <c r="H12" s="41"/>
      <c r="I12" s="55">
        <f>I10*I11</f>
        <v>-120000</v>
      </c>
      <c r="J12" s="55">
        <f t="shared" ref="J12" si="4">J10*J11</f>
        <v>-120000</v>
      </c>
      <c r="K12" s="55">
        <f t="shared" ref="K12" si="5">K10*K11</f>
        <v>-120000</v>
      </c>
      <c r="L12" s="55">
        <f t="shared" ref="L12" si="6">L10*L11</f>
        <v>-120000</v>
      </c>
      <c r="M12" s="57">
        <f>SUM(I12:L12)</f>
        <v>-480000</v>
      </c>
      <c r="N12" s="41"/>
      <c r="O12" s="15"/>
      <c r="P12" s="41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2" t="s">
        <v>95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69</v>
      </c>
    </row>
    <row r="15" spans="2:16" x14ac:dyDescent="0.2">
      <c r="B15" s="5" t="s">
        <v>67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46</v>
      </c>
    </row>
    <row r="16" spans="2:16" x14ac:dyDescent="0.2">
      <c r="B16" s="5" t="s">
        <v>79</v>
      </c>
      <c r="C16" s="50">
        <v>-0.15</v>
      </c>
      <c r="D16" s="50">
        <v>-0.15</v>
      </c>
      <c r="E16" s="50">
        <v>-0.15</v>
      </c>
      <c r="F16" s="50">
        <v>-0.15</v>
      </c>
      <c r="G16" s="53">
        <f>AVERAGE(C16:F16)</f>
        <v>-0.15</v>
      </c>
      <c r="H16" s="5"/>
      <c r="I16" s="59">
        <f>G16</f>
        <v>-0.15</v>
      </c>
      <c r="J16" s="59">
        <f>I16</f>
        <v>-0.15</v>
      </c>
      <c r="K16" s="59">
        <f>J16</f>
        <v>-0.15</v>
      </c>
      <c r="L16" s="59">
        <f>K16</f>
        <v>-0.15</v>
      </c>
      <c r="M16" s="59">
        <f>AVERAGE(I16:L16)</f>
        <v>-0.15</v>
      </c>
      <c r="N16" s="5"/>
      <c r="O16" s="15"/>
      <c r="P16" s="5"/>
    </row>
    <row r="17" spans="2:16" x14ac:dyDescent="0.2">
      <c r="B17" s="54" t="s">
        <v>68</v>
      </c>
      <c r="C17" s="55">
        <f>C15*C16</f>
        <v>-31087.5</v>
      </c>
      <c r="D17" s="55">
        <f t="shared" ref="D17:F17" si="9">D15*D16</f>
        <v>-59910</v>
      </c>
      <c r="E17" s="55">
        <f t="shared" si="9"/>
        <v>-69450</v>
      </c>
      <c r="F17" s="55">
        <f t="shared" si="9"/>
        <v>-6750</v>
      </c>
      <c r="G17" s="56">
        <f>SUM(C17:F17)</f>
        <v>-167197.5</v>
      </c>
      <c r="H17" s="5"/>
      <c r="I17" s="55">
        <f>I15*I16</f>
        <v>-41546.970476190472</v>
      </c>
      <c r="J17" s="55">
        <f t="shared" ref="J17" si="10">J15*J16</f>
        <v>-67054.029523809513</v>
      </c>
      <c r="K17" s="55">
        <f t="shared" ref="K17" si="11">K15*K16</f>
        <v>-83714.783333333326</v>
      </c>
      <c r="L17" s="55">
        <f t="shared" ref="L17" si="12">L15*L16</f>
        <v>-7947.8885714285689</v>
      </c>
      <c r="M17" s="56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2" t="s">
        <v>80</v>
      </c>
      <c r="C19" s="43">
        <f>'6. Fixed Assets Budget'!C12</f>
        <v>-102000</v>
      </c>
      <c r="D19" s="43">
        <f>'6. Fixed Assets Budget'!D12</f>
        <v>-114583.35</v>
      </c>
      <c r="E19" s="43">
        <f>'6. Fixed Assets Budget'!E12</f>
        <v>-130000</v>
      </c>
      <c r="F19" s="43">
        <f>'6. Fixed Assets Budget'!F12</f>
        <v>-140000</v>
      </c>
      <c r="G19" s="52">
        <f>SUM(C19:F19)</f>
        <v>-486583.35</v>
      </c>
      <c r="I19" s="43">
        <f>'6. Fixed Assets Budget'!I12</f>
        <v>-137693.8282306412</v>
      </c>
      <c r="J19" s="43">
        <f>'6. Fixed Assets Budget'!J12</f>
        <v>-157440.83445501066</v>
      </c>
      <c r="K19" s="43">
        <f>'6. Fixed Assets Budget'!K12</f>
        <v>-186587.72685605849</v>
      </c>
      <c r="L19" s="43">
        <f>'6. Fixed Assets Budget'!L12</f>
        <v>-223177.8993776679</v>
      </c>
      <c r="M19" s="52">
        <f>SUM(I19:L19)</f>
        <v>-704900.2889193783</v>
      </c>
      <c r="O19" s="2"/>
      <c r="P19" s="1" t="s">
        <v>47</v>
      </c>
    </row>
    <row r="20" spans="2:16" ht="12.75" thickBot="1" x14ac:dyDescent="0.25">
      <c r="B20" s="45" t="s">
        <v>66</v>
      </c>
      <c r="C20" s="46">
        <f>C12+C17+C19</f>
        <v>-233087.5</v>
      </c>
      <c r="D20" s="46">
        <f t="shared" ref="D20:G20" si="13">D12+D17+D19</f>
        <v>-274493.34999999998</v>
      </c>
      <c r="E20" s="46">
        <f t="shared" si="13"/>
        <v>-299450</v>
      </c>
      <c r="F20" s="46">
        <f t="shared" si="13"/>
        <v>-246750</v>
      </c>
      <c r="G20" s="46">
        <f t="shared" si="13"/>
        <v>-1053780.8500000001</v>
      </c>
      <c r="I20" s="46">
        <f t="shared" ref="I20" si="14">I12+I17+I19</f>
        <v>-299240.79870683164</v>
      </c>
      <c r="J20" s="46">
        <f t="shared" ref="J20" si="15">J12+J17+J19</f>
        <v>-344494.86397882015</v>
      </c>
      <c r="K20" s="46">
        <f t="shared" ref="K20" si="16">K12+K17+K19</f>
        <v>-390302.51018939179</v>
      </c>
      <c r="L20" s="46">
        <f t="shared" ref="L20" si="17">L12+L17+L19</f>
        <v>-351125.78794909647</v>
      </c>
      <c r="M20" s="46">
        <f t="shared" ref="M20" si="18">M12+M17+M19</f>
        <v>-1385163.9608241403</v>
      </c>
      <c r="O20" s="21">
        <f>M20/G20-1</f>
        <v>0.3144706139081388</v>
      </c>
      <c r="P20" s="1" t="s">
        <v>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78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7" x14ac:dyDescent="0.2">
      <c r="B5" s="2" t="s">
        <v>102</v>
      </c>
      <c r="C5" s="39">
        <f>'1. Sales Budget'!C10</f>
        <v>225000</v>
      </c>
      <c r="D5" s="39">
        <f>'1. Sales Budget'!D10</f>
        <v>375000</v>
      </c>
      <c r="E5" s="39">
        <f>'1. Sales Budget'!E10</f>
        <v>450000</v>
      </c>
      <c r="F5" s="39">
        <f>'1. Sales Budget'!F10</f>
        <v>105000</v>
      </c>
      <c r="G5" s="40">
        <f t="shared" ref="G5" si="0">SUM(C5:F5)</f>
        <v>1155000</v>
      </c>
      <c r="H5" s="5"/>
      <c r="I5" s="39">
        <f>'1. Sales Budget'!I10</f>
        <v>251600</v>
      </c>
      <c r="J5" s="39">
        <f>'1. Sales Budget'!J10</f>
        <v>420000</v>
      </c>
      <c r="K5" s="39">
        <f>'1. Sales Budget'!K10</f>
        <v>539000</v>
      </c>
      <c r="L5" s="39">
        <f>'1. Sales Budget'!L10</f>
        <v>120199.99999999999</v>
      </c>
      <c r="M5" s="40">
        <f t="shared" ref="M5" si="1">SUM(I5:L5)</f>
        <v>1330800</v>
      </c>
      <c r="N5" s="5"/>
      <c r="O5" s="18">
        <f>M5/G5-1</f>
        <v>0.15220779220779224</v>
      </c>
    </row>
    <row r="6" spans="2:17" x14ac:dyDescent="0.2">
      <c r="B6" s="2" t="s">
        <v>103</v>
      </c>
      <c r="C6" s="36">
        <f>'1. Sales Budget'!C21</f>
        <v>4125000</v>
      </c>
      <c r="D6" s="36">
        <f>'1. Sales Budget'!D21</f>
        <v>6875000</v>
      </c>
      <c r="E6" s="36">
        <f>'1. Sales Budget'!E21</f>
        <v>8250000</v>
      </c>
      <c r="F6" s="36">
        <f>'1. Sales Budget'!F21</f>
        <v>1925000</v>
      </c>
      <c r="G6" s="37">
        <f>SUM(C6:F6)</f>
        <v>21175000</v>
      </c>
      <c r="H6" s="5"/>
      <c r="I6" s="36">
        <f>'1. Sales Budget'!I21</f>
        <v>4738466.666666666</v>
      </c>
      <c r="J6" s="36">
        <f>'1. Sales Budget'!J21</f>
        <v>7910000</v>
      </c>
      <c r="K6" s="36">
        <f>'1. Sales Budget'!K21</f>
        <v>10151166.666666666</v>
      </c>
      <c r="L6" s="36">
        <f>'1. Sales Budget'!L21</f>
        <v>2263766.666666666</v>
      </c>
      <c r="M6" s="37">
        <f>SUM(I6:L6)</f>
        <v>25063400</v>
      </c>
      <c r="N6" s="5"/>
      <c r="O6" s="18">
        <f>M6/G6-1</f>
        <v>0.18363164108618646</v>
      </c>
    </row>
    <row r="7" spans="2:17" x14ac:dyDescent="0.2">
      <c r="B7" s="2"/>
      <c r="I7" s="36"/>
      <c r="J7" s="36"/>
      <c r="K7" s="36"/>
      <c r="L7" s="36"/>
      <c r="M7" s="37"/>
      <c r="O7" s="18"/>
    </row>
    <row r="8" spans="2:17" x14ac:dyDescent="0.2">
      <c r="B8" s="2" t="s">
        <v>105</v>
      </c>
      <c r="C8" s="60">
        <v>-165000</v>
      </c>
      <c r="D8" s="60">
        <v>-275000</v>
      </c>
      <c r="E8" s="60">
        <v>-330000</v>
      </c>
      <c r="F8" s="60">
        <v>-77000</v>
      </c>
      <c r="G8" s="61">
        <f>SUM(C8:F8)</f>
        <v>-847000</v>
      </c>
      <c r="I8" s="60">
        <f>I$6*I9</f>
        <v>-189538.66666666666</v>
      </c>
      <c r="J8" s="60">
        <f t="shared" ref="J8:L8" si="2">J$6*J9</f>
        <v>-316400</v>
      </c>
      <c r="K8" s="60">
        <f t="shared" si="2"/>
        <v>-406046.66666666663</v>
      </c>
      <c r="L8" s="60">
        <f t="shared" si="2"/>
        <v>-90550.666666666642</v>
      </c>
      <c r="M8" s="61">
        <f>SUM(I8:L8)</f>
        <v>-1002535.9999999999</v>
      </c>
      <c r="O8" s="69" t="s">
        <v>107</v>
      </c>
    </row>
    <row r="9" spans="2:17" x14ac:dyDescent="0.2">
      <c r="B9" s="5" t="s">
        <v>104</v>
      </c>
      <c r="C9" s="62">
        <f>C8/C$6</f>
        <v>-0.04</v>
      </c>
      <c r="D9" s="62">
        <f t="shared" ref="D9:F9" si="3">D8/D$6</f>
        <v>-0.04</v>
      </c>
      <c r="E9" s="62">
        <f t="shared" si="3"/>
        <v>-0.04</v>
      </c>
      <c r="F9" s="62">
        <f t="shared" si="3"/>
        <v>-0.04</v>
      </c>
      <c r="G9" s="66">
        <f>G8/G$6</f>
        <v>-0.04</v>
      </c>
      <c r="I9" s="67">
        <f>G9</f>
        <v>-0.04</v>
      </c>
      <c r="J9" s="67">
        <f>I9</f>
        <v>-0.04</v>
      </c>
      <c r="K9" s="67">
        <f t="shared" ref="K9:L9" si="4">J9</f>
        <v>-0.04</v>
      </c>
      <c r="L9" s="67">
        <f t="shared" si="4"/>
        <v>-0.04</v>
      </c>
      <c r="M9" s="68">
        <f>M8/M6</f>
        <v>-3.9999999999999994E-2</v>
      </c>
      <c r="O9" s="69"/>
      <c r="Q9" s="3">
        <v>-1</v>
      </c>
    </row>
    <row r="10" spans="2:17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7" x14ac:dyDescent="0.2">
      <c r="B11" s="2" t="s">
        <v>106</v>
      </c>
      <c r="C11" s="60">
        <v>-82500</v>
      </c>
      <c r="D11" s="60">
        <v>-275000</v>
      </c>
      <c r="E11" s="60">
        <v>-330000</v>
      </c>
      <c r="F11" s="60">
        <v>-57750</v>
      </c>
      <c r="G11" s="61">
        <f>SUM(C11:F11)</f>
        <v>-745250</v>
      </c>
      <c r="I11" s="60">
        <f>I$6*I12</f>
        <v>-94769.333333333328</v>
      </c>
      <c r="J11" s="60">
        <f t="shared" ref="J11" si="5">J$6*J12</f>
        <v>-316400</v>
      </c>
      <c r="K11" s="60">
        <f t="shared" ref="K11" si="6">K$6*K12</f>
        <v>-406046.66666666663</v>
      </c>
      <c r="L11" s="60">
        <f t="shared" ref="L11" si="7">L$6*L12</f>
        <v>-67912.999999999985</v>
      </c>
      <c r="M11" s="61">
        <f>SUM(I11:L11)</f>
        <v>-885129</v>
      </c>
      <c r="O11" s="69" t="s">
        <v>107</v>
      </c>
    </row>
    <row r="12" spans="2:17" x14ac:dyDescent="0.2">
      <c r="B12" s="5" t="s">
        <v>104</v>
      </c>
      <c r="C12" s="62">
        <f>C11/C$6</f>
        <v>-0.02</v>
      </c>
      <c r="D12" s="62">
        <f t="shared" ref="D12" si="8">D11/D$6</f>
        <v>-0.04</v>
      </c>
      <c r="E12" s="62">
        <f t="shared" ref="E12" si="9">E11/E$6</f>
        <v>-0.04</v>
      </c>
      <c r="F12" s="62">
        <f t="shared" ref="F12" si="10">F11/F$6</f>
        <v>-0.03</v>
      </c>
      <c r="G12" s="66">
        <f>G11/G$6</f>
        <v>-3.5194805194805195E-2</v>
      </c>
      <c r="I12" s="67">
        <f>C12</f>
        <v>-0.02</v>
      </c>
      <c r="J12" s="67">
        <f t="shared" ref="J12:L12" si="11">D12</f>
        <v>-0.04</v>
      </c>
      <c r="K12" s="67">
        <f t="shared" si="11"/>
        <v>-0.04</v>
      </c>
      <c r="L12" s="67">
        <f t="shared" si="11"/>
        <v>-0.03</v>
      </c>
      <c r="M12" s="66">
        <f>M11/M$6</f>
        <v>-3.5315599639314695E-2</v>
      </c>
      <c r="O12" s="69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7" x14ac:dyDescent="0.2">
      <c r="B14" s="2" t="s">
        <v>82</v>
      </c>
      <c r="C14" s="43">
        <f>'4.1 Payroll Budget'!C20</f>
        <v>-280000</v>
      </c>
      <c r="D14" s="43">
        <f>'4.1 Payroll Budget'!D20</f>
        <v>-280000</v>
      </c>
      <c r="E14" s="43">
        <f>'4.1 Payroll Budget'!E20</f>
        <v>-280000</v>
      </c>
      <c r="F14" s="43">
        <f>'4.1 Payroll Budget'!F20</f>
        <v>-280000</v>
      </c>
      <c r="G14" s="61">
        <f>SUM(C14:F14)</f>
        <v>-1120000</v>
      </c>
      <c r="H14" s="5"/>
      <c r="I14" s="43">
        <f>'4.1 Payroll Budget'!I20</f>
        <v>-294000</v>
      </c>
      <c r="J14" s="43">
        <f>'4.1 Payroll Budget'!J20</f>
        <v>-294000</v>
      </c>
      <c r="K14" s="43">
        <f>'4.1 Payroll Budget'!K20</f>
        <v>-294000</v>
      </c>
      <c r="L14" s="43">
        <f>'4.1 Payroll Budget'!L20</f>
        <v>-294000</v>
      </c>
      <c r="M14" s="61">
        <f>SUM(I14:L14)</f>
        <v>-1176000</v>
      </c>
      <c r="N14" s="5"/>
      <c r="O14" s="70" t="s">
        <v>108</v>
      </c>
    </row>
    <row r="15" spans="2:17" x14ac:dyDescent="0.2">
      <c r="B15" s="5" t="s">
        <v>104</v>
      </c>
      <c r="C15" s="62">
        <f>C14/C$6</f>
        <v>-6.7878787878787886E-2</v>
      </c>
      <c r="D15" s="62">
        <f>D14/D$6</f>
        <v>-4.072727272727273E-2</v>
      </c>
      <c r="E15" s="62">
        <f>E14/E$6</f>
        <v>-3.3939393939393943E-2</v>
      </c>
      <c r="F15" s="62">
        <f>F14/F$6</f>
        <v>-0.14545454545454545</v>
      </c>
      <c r="G15" s="66">
        <f>G14/G$6</f>
        <v>-5.2892561983471073E-2</v>
      </c>
      <c r="I15" s="67">
        <f>C15</f>
        <v>-6.7878787878787886E-2</v>
      </c>
      <c r="J15" s="67">
        <f t="shared" ref="J15" si="12">D15</f>
        <v>-4.072727272727273E-2</v>
      </c>
      <c r="K15" s="67">
        <f t="shared" ref="K15" si="13">E15</f>
        <v>-3.3939393939393943E-2</v>
      </c>
      <c r="L15" s="67">
        <f t="shared" ref="L15" si="14">F15</f>
        <v>-0.14545454545454545</v>
      </c>
      <c r="M15" s="66">
        <f>M14/M$6</f>
        <v>-4.6921008322893143E-2</v>
      </c>
      <c r="N15" s="5"/>
      <c r="O15" s="69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0"/>
    </row>
    <row r="17" spans="2:15" x14ac:dyDescent="0.2">
      <c r="B17" s="2" t="s">
        <v>109</v>
      </c>
      <c r="C17" s="43">
        <v>-120000</v>
      </c>
      <c r="D17" s="43">
        <v>-120000</v>
      </c>
      <c r="E17" s="43">
        <v>-120000</v>
      </c>
      <c r="F17" s="43">
        <v>-120000</v>
      </c>
      <c r="G17" s="61">
        <f>SUM(C17:F17)</f>
        <v>-480000</v>
      </c>
      <c r="H17" s="5"/>
      <c r="I17" s="43">
        <f>F17</f>
        <v>-120000</v>
      </c>
      <c r="J17" s="43">
        <f>I17</f>
        <v>-120000</v>
      </c>
      <c r="K17" s="43">
        <f t="shared" ref="K17:L17" si="15">J17</f>
        <v>-120000</v>
      </c>
      <c r="L17" s="43">
        <f t="shared" si="15"/>
        <v>-120000</v>
      </c>
      <c r="M17" s="61">
        <f>SUM(I17:L17)</f>
        <v>-480000</v>
      </c>
      <c r="N17" s="5"/>
      <c r="O17" s="70" t="s">
        <v>108</v>
      </c>
    </row>
    <row r="18" spans="2:15" x14ac:dyDescent="0.2">
      <c r="B18" s="5" t="s">
        <v>104</v>
      </c>
      <c r="C18" s="62">
        <f>C17/C$6</f>
        <v>-2.9090909090909091E-2</v>
      </c>
      <c r="D18" s="62">
        <f>D17/D$6</f>
        <v>-1.7454545454545455E-2</v>
      </c>
      <c r="E18" s="62">
        <f>E17/E$6</f>
        <v>-1.4545454545454545E-2</v>
      </c>
      <c r="F18" s="62">
        <f>F17/F$6</f>
        <v>-6.2337662337662338E-2</v>
      </c>
      <c r="G18" s="66">
        <f>G17/G$6</f>
        <v>-2.2668240850059033E-2</v>
      </c>
      <c r="I18" s="67">
        <f>C18</f>
        <v>-2.9090909090909091E-2</v>
      </c>
      <c r="J18" s="67">
        <f t="shared" ref="J18" si="16">D18</f>
        <v>-1.7454545454545455E-2</v>
      </c>
      <c r="K18" s="67">
        <f t="shared" ref="K18" si="17">E18</f>
        <v>-1.4545454545454545E-2</v>
      </c>
      <c r="L18" s="67">
        <f t="shared" ref="L18" si="18">F18</f>
        <v>-6.2337662337662338E-2</v>
      </c>
      <c r="M18" s="66">
        <f>M17/M$6</f>
        <v>-1.9151431968527814E-2</v>
      </c>
      <c r="N18" s="5"/>
      <c r="O18" s="18"/>
    </row>
    <row r="19" spans="2:15" ht="12.75" thickBot="1" x14ac:dyDescent="0.25">
      <c r="B19" s="45" t="s">
        <v>110</v>
      </c>
      <c r="C19" s="46">
        <f>C8+C11+C14+C17</f>
        <v>-647500</v>
      </c>
      <c r="D19" s="46">
        <f t="shared" ref="D19:F19" si="19">D8+D11+D14+D17</f>
        <v>-950000</v>
      </c>
      <c r="E19" s="46">
        <f t="shared" si="19"/>
        <v>-1060000</v>
      </c>
      <c r="F19" s="46">
        <f t="shared" si="19"/>
        <v>-534750</v>
      </c>
      <c r="G19" s="46">
        <f>SUM(C19:F19)</f>
        <v>-3192250</v>
      </c>
      <c r="I19" s="46">
        <f>I8+I11+I14+I17</f>
        <v>-698308</v>
      </c>
      <c r="J19" s="46">
        <f t="shared" ref="J19:L19" si="20">J8+J11+J14+J17</f>
        <v>-1046800</v>
      </c>
      <c r="K19" s="46">
        <f t="shared" si="20"/>
        <v>-1226093.3333333333</v>
      </c>
      <c r="L19" s="46">
        <f t="shared" si="20"/>
        <v>-572463.66666666663</v>
      </c>
      <c r="M19" s="46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B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s="5" customFormat="1" x14ac:dyDescent="0.2">
      <c r="B5" s="2" t="s">
        <v>89</v>
      </c>
      <c r="C5" s="39">
        <f>SUM('3.2 Direct Labor Budget'!C14:C15)</f>
        <v>62175</v>
      </c>
      <c r="D5" s="39">
        <f>SUM('3.2 Direct Labor Budget'!D14:D15)</f>
        <v>119820</v>
      </c>
      <c r="E5" s="39">
        <f>SUM('3.2 Direct Labor Budget'!E14:E15)</f>
        <v>138900</v>
      </c>
      <c r="F5" s="39">
        <f>SUM('3.2 Direct Labor Budget'!F14:F15)</f>
        <v>13500</v>
      </c>
      <c r="G5" s="40">
        <f>SUM(C5:F5)</f>
        <v>334395</v>
      </c>
      <c r="I5" s="39">
        <f>SUM('3.2 Direct Labor Budget'!I14:I15)</f>
        <v>83093.940952380945</v>
      </c>
      <c r="J5" s="39">
        <f>SUM('3.2 Direct Labor Budget'!J14:J15)</f>
        <v>134108.05904761903</v>
      </c>
      <c r="K5" s="39">
        <f>SUM('3.2 Direct Labor Budget'!K14:K15)</f>
        <v>167429.56666666665</v>
      </c>
      <c r="L5" s="39">
        <f>SUM('3.2 Direct Labor Budget'!L14:L15)</f>
        <v>15895.777142857138</v>
      </c>
      <c r="M5" s="40">
        <f>SUM(I5:L5)</f>
        <v>400527.34380952379</v>
      </c>
      <c r="O5" s="18">
        <f>M5/G5-1</f>
        <v>0.19776714307786847</v>
      </c>
      <c r="P5" s="2"/>
    </row>
    <row r="6" spans="2:16" x14ac:dyDescent="0.2">
      <c r="B6" s="2"/>
      <c r="C6" s="36"/>
      <c r="D6" s="36"/>
      <c r="E6" s="36"/>
      <c r="F6" s="36"/>
      <c r="G6" s="37"/>
      <c r="I6" s="36"/>
      <c r="J6" s="36"/>
      <c r="K6" s="36"/>
      <c r="L6" s="36"/>
      <c r="M6" s="37"/>
      <c r="O6" s="18"/>
      <c r="P6" s="1"/>
    </row>
    <row r="7" spans="2:16" x14ac:dyDescent="0.2">
      <c r="B7" s="2" t="s">
        <v>85</v>
      </c>
      <c r="C7" s="36"/>
      <c r="D7" s="36"/>
      <c r="E7" s="36"/>
      <c r="F7" s="36"/>
      <c r="G7" s="37"/>
      <c r="I7" s="36"/>
      <c r="J7" s="36"/>
      <c r="K7" s="36"/>
      <c r="L7" s="36"/>
      <c r="M7" s="37"/>
      <c r="O7" s="18"/>
      <c r="P7" s="1"/>
    </row>
    <row r="8" spans="2:16" x14ac:dyDescent="0.2">
      <c r="B8" s="5" t="s">
        <v>86</v>
      </c>
      <c r="C8" s="36">
        <f>C5/480</f>
        <v>129.53125</v>
      </c>
      <c r="D8" s="36">
        <f t="shared" ref="D8:F8" si="0">D5/480</f>
        <v>249.625</v>
      </c>
      <c r="E8" s="36">
        <f t="shared" si="0"/>
        <v>289.375</v>
      </c>
      <c r="F8" s="36">
        <f t="shared" si="0"/>
        <v>28.125</v>
      </c>
      <c r="G8" s="37">
        <f>AVERAGE(C8:F8)</f>
        <v>174.1640625</v>
      </c>
      <c r="I8" s="36">
        <f>I5/480</f>
        <v>173.11237698412697</v>
      </c>
      <c r="J8" s="36">
        <f t="shared" ref="J8:L8" si="1">J5/480</f>
        <v>279.39178968253964</v>
      </c>
      <c r="K8" s="36">
        <f t="shared" si="1"/>
        <v>348.81159722222219</v>
      </c>
      <c r="L8" s="36">
        <f t="shared" si="1"/>
        <v>33.116202380952373</v>
      </c>
      <c r="M8" s="37">
        <f>AVERAGE(I8:L8)</f>
        <v>208.60799156746029</v>
      </c>
      <c r="O8" s="18"/>
      <c r="P8" s="1"/>
    </row>
    <row r="9" spans="2:16" x14ac:dyDescent="0.2">
      <c r="B9" s="5" t="s">
        <v>87</v>
      </c>
      <c r="C9" s="36">
        <f>'3.3 Overhead Budget'!C10</f>
        <v>5</v>
      </c>
      <c r="D9" s="36">
        <f>'3.3 Overhead Budget'!D10</f>
        <v>5</v>
      </c>
      <c r="E9" s="36">
        <f>'3.3 Overhead Budget'!E10</f>
        <v>5</v>
      </c>
      <c r="F9" s="36">
        <f>'3.3 Overhead Budget'!F10</f>
        <v>5</v>
      </c>
      <c r="G9" s="37">
        <f>AVERAGE(C9:F9)</f>
        <v>5</v>
      </c>
      <c r="I9" s="36">
        <f>'3.3 Overhead Budget'!I10</f>
        <v>6</v>
      </c>
      <c r="J9" s="36">
        <f>'3.3 Overhead Budget'!J10</f>
        <v>6</v>
      </c>
      <c r="K9" s="36">
        <f>'3.3 Overhead Budget'!K10</f>
        <v>6</v>
      </c>
      <c r="L9" s="36">
        <f>'3.3 Overhead Budget'!L10</f>
        <v>6</v>
      </c>
      <c r="M9" s="37">
        <f>AVERAGE(I9:L9)</f>
        <v>6</v>
      </c>
      <c r="O9" s="18"/>
      <c r="P9" s="1"/>
    </row>
    <row r="10" spans="2:16" x14ac:dyDescent="0.2">
      <c r="B10" s="63" t="s">
        <v>88</v>
      </c>
      <c r="C10" s="36">
        <v>40</v>
      </c>
      <c r="D10" s="36">
        <v>40</v>
      </c>
      <c r="E10" s="36">
        <v>40</v>
      </c>
      <c r="F10" s="36">
        <v>40</v>
      </c>
      <c r="G10" s="37">
        <f>AVERAGE(C10:F10)</f>
        <v>40</v>
      </c>
      <c r="I10" s="36">
        <f>G10</f>
        <v>40</v>
      </c>
      <c r="J10" s="36">
        <f>I10</f>
        <v>40</v>
      </c>
      <c r="K10" s="36">
        <f t="shared" ref="K10:L10" si="2">J10</f>
        <v>40</v>
      </c>
      <c r="L10" s="36">
        <f t="shared" si="2"/>
        <v>40</v>
      </c>
      <c r="M10" s="37">
        <f>AVERAGE(I10:L10)</f>
        <v>40</v>
      </c>
      <c r="O10" s="18"/>
      <c r="P10" s="1"/>
    </row>
    <row r="11" spans="2:16" x14ac:dyDescent="0.2">
      <c r="B11" s="2"/>
      <c r="C11" s="36"/>
      <c r="D11" s="36"/>
      <c r="E11" s="36"/>
      <c r="F11" s="36"/>
      <c r="G11" s="37"/>
      <c r="I11" s="36"/>
      <c r="J11" s="36"/>
      <c r="K11" s="36"/>
      <c r="L11" s="36"/>
      <c r="M11" s="37"/>
      <c r="O11" s="18"/>
      <c r="P11" s="1"/>
    </row>
    <row r="12" spans="2:16" x14ac:dyDescent="0.2">
      <c r="B12" s="2" t="s">
        <v>96</v>
      </c>
      <c r="C12" s="36"/>
      <c r="D12" s="36"/>
      <c r="E12" s="36"/>
      <c r="F12" s="36"/>
      <c r="G12" s="37"/>
      <c r="I12" s="36"/>
      <c r="J12" s="36"/>
      <c r="K12" s="36"/>
      <c r="L12" s="36"/>
      <c r="M12" s="37"/>
      <c r="O12" s="18"/>
      <c r="P12" s="1"/>
    </row>
    <row r="13" spans="2:16" x14ac:dyDescent="0.2">
      <c r="B13" s="5" t="s">
        <v>83</v>
      </c>
      <c r="C13" s="60">
        <f>-'3.2 Direct Labor Budget'!C17</f>
        <v>12</v>
      </c>
      <c r="D13" s="60">
        <f>-'3.2 Direct Labor Budget'!D17</f>
        <v>12</v>
      </c>
      <c r="E13" s="60">
        <f>-'3.2 Direct Labor Budget'!E17</f>
        <v>12</v>
      </c>
      <c r="F13" s="60">
        <f>-'3.2 Direct Labor Budget'!F17</f>
        <v>12</v>
      </c>
      <c r="G13" s="64">
        <f>AVERAGE(C13:F13)</f>
        <v>12</v>
      </c>
      <c r="I13" s="60">
        <f>-'3.2 Direct Labor Budget'!I17</f>
        <v>11.999999999999998</v>
      </c>
      <c r="J13" s="60">
        <f>-'3.2 Direct Labor Budget'!J17</f>
        <v>12</v>
      </c>
      <c r="K13" s="60">
        <f>-'3.2 Direct Labor Budget'!K17</f>
        <v>12</v>
      </c>
      <c r="L13" s="60">
        <f>-'3.2 Direct Labor Budget'!L17</f>
        <v>12</v>
      </c>
      <c r="M13" s="64">
        <f>AVERAGE(I13:L13)</f>
        <v>12</v>
      </c>
      <c r="O13" s="18">
        <f>M13/G13-1</f>
        <v>0</v>
      </c>
    </row>
    <row r="14" spans="2:16" x14ac:dyDescent="0.2">
      <c r="B14" s="5" t="s">
        <v>84</v>
      </c>
      <c r="C14" s="60">
        <f>-'3.3 Overhead Budget'!C11</f>
        <v>20000</v>
      </c>
      <c r="D14" s="60">
        <f>-'3.3 Overhead Budget'!D11</f>
        <v>20000</v>
      </c>
      <c r="E14" s="60">
        <f>-'3.3 Overhead Budget'!E11</f>
        <v>20000</v>
      </c>
      <c r="F14" s="60">
        <f>-'3.3 Overhead Budget'!F11</f>
        <v>20000</v>
      </c>
      <c r="G14" s="64">
        <f>AVERAGE(C14:F14)</f>
        <v>20000</v>
      </c>
      <c r="I14" s="60">
        <f>-'3.3 Overhead Budget'!I11</f>
        <v>20000</v>
      </c>
      <c r="J14" s="60">
        <f>-'3.3 Overhead Budget'!J11</f>
        <v>20000</v>
      </c>
      <c r="K14" s="60">
        <f>-'3.3 Overhead Budget'!K11</f>
        <v>20000</v>
      </c>
      <c r="L14" s="60">
        <f>-'3.3 Overhead Budget'!L11</f>
        <v>20000</v>
      </c>
      <c r="M14" s="64">
        <f>AVERAGE(I14:L14)</f>
        <v>20000</v>
      </c>
      <c r="O14" s="18">
        <f t="shared" ref="O14" si="3">M14/G14-1</f>
        <v>0</v>
      </c>
    </row>
    <row r="15" spans="2:16" x14ac:dyDescent="0.2">
      <c r="B15" s="63" t="s">
        <v>90</v>
      </c>
      <c r="C15" s="60">
        <v>7000</v>
      </c>
      <c r="D15" s="60">
        <v>7000</v>
      </c>
      <c r="E15" s="60">
        <v>7000</v>
      </c>
      <c r="F15" s="60">
        <v>7000</v>
      </c>
      <c r="G15" s="64">
        <f>AVERAGE(C15:F15)</f>
        <v>7000</v>
      </c>
      <c r="I15" s="60">
        <f>G15*(1+5%)</f>
        <v>7350</v>
      </c>
      <c r="J15" s="60">
        <f>I15</f>
        <v>7350</v>
      </c>
      <c r="K15" s="60">
        <f t="shared" ref="K15:L15" si="4">J15</f>
        <v>7350</v>
      </c>
      <c r="L15" s="60">
        <f t="shared" si="4"/>
        <v>7350</v>
      </c>
      <c r="M15" s="64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2" t="s">
        <v>82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86</v>
      </c>
      <c r="C18" s="43">
        <f>-C5*C13</f>
        <v>-746100</v>
      </c>
      <c r="D18" s="43">
        <f t="shared" ref="D18:F18" si="5">-D5*D13</f>
        <v>-1437840</v>
      </c>
      <c r="E18" s="43">
        <f t="shared" si="5"/>
        <v>-1666800</v>
      </c>
      <c r="F18" s="43">
        <f t="shared" si="5"/>
        <v>-162000</v>
      </c>
      <c r="G18" s="52">
        <f>SUM(C18:F18)</f>
        <v>-4012740</v>
      </c>
      <c r="H18" s="5"/>
      <c r="I18" s="43">
        <f>-I5*I13</f>
        <v>-997127.29142857122</v>
      </c>
      <c r="J18" s="43">
        <f t="shared" ref="J18:L18" si="6">-J5*J13</f>
        <v>-1609296.7085714284</v>
      </c>
      <c r="K18" s="43">
        <f t="shared" si="6"/>
        <v>-2009154.7999999998</v>
      </c>
      <c r="L18" s="43">
        <f t="shared" si="6"/>
        <v>-190749.32571428566</v>
      </c>
      <c r="M18" s="52">
        <f>SUM(I18:L18)</f>
        <v>-4806328.1257142844</v>
      </c>
      <c r="N18" s="5"/>
      <c r="O18" s="18">
        <f t="shared" ref="O18:O20" si="7">M18/G18-1</f>
        <v>0.19776714307786802</v>
      </c>
      <c r="P18" s="65" t="s">
        <v>91</v>
      </c>
    </row>
    <row r="19" spans="2:16" x14ac:dyDescent="0.2">
      <c r="B19" s="5" t="s">
        <v>87</v>
      </c>
      <c r="C19" s="43">
        <f t="shared" ref="C19:F20" si="8">-C9*C14</f>
        <v>-100000</v>
      </c>
      <c r="D19" s="43">
        <f t="shared" si="8"/>
        <v>-100000</v>
      </c>
      <c r="E19" s="43">
        <f t="shared" si="8"/>
        <v>-100000</v>
      </c>
      <c r="F19" s="43">
        <f t="shared" si="8"/>
        <v>-100000</v>
      </c>
      <c r="G19" s="52">
        <f t="shared" ref="G19:G20" si="9">SUM(C19:F19)</f>
        <v>-400000</v>
      </c>
      <c r="H19" s="5"/>
      <c r="I19" s="43">
        <f t="shared" ref="I19:L19" si="10">-I9*I14</f>
        <v>-120000</v>
      </c>
      <c r="J19" s="43">
        <f t="shared" si="10"/>
        <v>-120000</v>
      </c>
      <c r="K19" s="43">
        <f t="shared" si="10"/>
        <v>-120000</v>
      </c>
      <c r="L19" s="43">
        <f t="shared" si="10"/>
        <v>-120000</v>
      </c>
      <c r="M19" s="52">
        <f t="shared" ref="M19:M20" si="11">SUM(I19:L19)</f>
        <v>-480000</v>
      </c>
      <c r="N19" s="5"/>
      <c r="O19" s="18">
        <f t="shared" si="7"/>
        <v>0.19999999999999996</v>
      </c>
      <c r="P19" s="65" t="s">
        <v>93</v>
      </c>
    </row>
    <row r="20" spans="2:16" x14ac:dyDescent="0.2">
      <c r="B20" s="63" t="s">
        <v>88</v>
      </c>
      <c r="C20" s="43">
        <f t="shared" si="8"/>
        <v>-280000</v>
      </c>
      <c r="D20" s="43">
        <f t="shared" si="8"/>
        <v>-280000</v>
      </c>
      <c r="E20" s="43">
        <f t="shared" si="8"/>
        <v>-280000</v>
      </c>
      <c r="F20" s="43">
        <f t="shared" si="8"/>
        <v>-280000</v>
      </c>
      <c r="G20" s="52">
        <f t="shared" si="9"/>
        <v>-1120000</v>
      </c>
      <c r="H20" s="5"/>
      <c r="I20" s="43">
        <f t="shared" ref="I20:L20" si="12">-I10*I15</f>
        <v>-294000</v>
      </c>
      <c r="J20" s="43">
        <f t="shared" si="12"/>
        <v>-294000</v>
      </c>
      <c r="K20" s="43">
        <f t="shared" si="12"/>
        <v>-294000</v>
      </c>
      <c r="L20" s="43">
        <f t="shared" si="12"/>
        <v>-294000</v>
      </c>
      <c r="M20" s="52">
        <f t="shared" si="11"/>
        <v>-1176000</v>
      </c>
      <c r="N20" s="5"/>
      <c r="O20" s="18">
        <f t="shared" si="7"/>
        <v>5.0000000000000044E-2</v>
      </c>
      <c r="P20" s="65" t="s">
        <v>92</v>
      </c>
    </row>
    <row r="21" spans="2:16" ht="12.75" thickBot="1" x14ac:dyDescent="0.25">
      <c r="B21" s="45" t="s">
        <v>66</v>
      </c>
      <c r="C21" s="46">
        <f t="shared" ref="C21:F21" si="13">SUM(C18:C20)</f>
        <v>-1126100</v>
      </c>
      <c r="D21" s="46">
        <f t="shared" si="13"/>
        <v>-1817840</v>
      </c>
      <c r="E21" s="46">
        <f t="shared" si="13"/>
        <v>-2046800</v>
      </c>
      <c r="F21" s="46">
        <f t="shared" si="13"/>
        <v>-542000</v>
      </c>
      <c r="G21" s="46">
        <f>SUM(G18:G20)</f>
        <v>-5532740</v>
      </c>
      <c r="I21" s="46">
        <f t="shared" ref="I21" si="14">SUM(I18:I20)</f>
        <v>-1411127.2914285711</v>
      </c>
      <c r="J21" s="46">
        <f t="shared" ref="J21" si="15">SUM(J18:J20)</f>
        <v>-2023296.7085714284</v>
      </c>
      <c r="K21" s="46">
        <f t="shared" ref="K21" si="16">SUM(K18:K20)</f>
        <v>-2423154.7999999998</v>
      </c>
      <c r="L21" s="46">
        <f t="shared" ref="L21" si="17">SUM(L18:L20)</f>
        <v>-604749.32571428572</v>
      </c>
      <c r="M21" s="46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4247-277D-4503-A8D2-6C0050FC7B53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F95F-B23C-48B9-89DA-0ABF9FA93682}">
  <sheetPr>
    <tabColor rgb="FF002060"/>
  </sheetPr>
  <dimension ref="B1:O18"/>
  <sheetViews>
    <sheetView showGridLines="0" workbookViewId="0"/>
  </sheetViews>
  <sheetFormatPr defaultRowHeight="12" x14ac:dyDescent="0.2"/>
  <cols>
    <col min="1" max="1" width="2.28515625" style="3" customWidth="1"/>
    <col min="2" max="2" width="34.28515625" style="3" bestFit="1" customWidth="1"/>
    <col min="3" max="3" width="10.5703125" style="3" bestFit="1" customWidth="1"/>
    <col min="4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6384" width="9.140625" style="3"/>
  </cols>
  <sheetData>
    <row r="1" spans="2:15" s="8" customFormat="1" ht="15.75" x14ac:dyDescent="0.25">
      <c r="B1" s="8" t="s">
        <v>113</v>
      </c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5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5"/>
      <c r="O5" s="18">
        <f>M5/G5-1</f>
        <v>0.18363164108618646</v>
      </c>
    </row>
    <row r="6" spans="2:15" x14ac:dyDescent="0.2">
      <c r="B6" s="2" t="s">
        <v>72</v>
      </c>
      <c r="C6" s="60">
        <f>'3. Cost of Goods Sold Budget'!C13</f>
        <v>-1238605</v>
      </c>
      <c r="D6" s="60">
        <f>'3. Cost of Goods Sold Budget'!D13</f>
        <v>-2211728.35</v>
      </c>
      <c r="E6" s="60">
        <f>'3. Cost of Goods Sold Budget'!E13</f>
        <v>-2545400</v>
      </c>
      <c r="F6" s="60">
        <f>'3. Cost of Goods Sold Budget'!F13</f>
        <v>-464250</v>
      </c>
      <c r="G6" s="61">
        <f>SUM(C6:F6)</f>
        <v>-6459983.3499999996</v>
      </c>
      <c r="H6" s="5"/>
      <c r="I6" s="60">
        <f>'3. Cost of Goods Sold Budget'!I13</f>
        <v>-1642841.6101354028</v>
      </c>
      <c r="J6" s="60">
        <f>'3. Cost of Goods Sold Budget'!J13</f>
        <v>-2512842.0525502488</v>
      </c>
      <c r="K6" s="60">
        <f>'3. Cost of Goods Sold Budget'!K13</f>
        <v>-3097269.1101893913</v>
      </c>
      <c r="L6" s="60">
        <f>'3. Cost of Goods Sold Budget'!L13</f>
        <v>-607443.75366338214</v>
      </c>
      <c r="M6" s="61">
        <f>SUM(I6:L6)</f>
        <v>-7860396.5265384251</v>
      </c>
      <c r="N6" s="5"/>
      <c r="O6" s="18">
        <f>M6/G6-1</f>
        <v>0.21678278420615826</v>
      </c>
    </row>
    <row r="7" spans="2:15" x14ac:dyDescent="0.2">
      <c r="B7" s="2"/>
      <c r="I7" s="36"/>
      <c r="J7" s="36"/>
      <c r="K7" s="36"/>
      <c r="L7" s="36"/>
      <c r="M7" s="37"/>
      <c r="O7" s="18"/>
    </row>
    <row r="8" spans="2:15" x14ac:dyDescent="0.2">
      <c r="B8" s="2" t="s">
        <v>115</v>
      </c>
      <c r="C8" s="60">
        <v>1375000</v>
      </c>
      <c r="D8" s="60">
        <v>2291667</v>
      </c>
      <c r="E8" s="60">
        <v>2750000</v>
      </c>
      <c r="F8" s="60">
        <v>641667</v>
      </c>
      <c r="G8" s="61">
        <f>SUM(C8:F8)</f>
        <v>7058334</v>
      </c>
      <c r="I8" s="60">
        <f>I9*I5/90</f>
        <v>1579489.7094025973</v>
      </c>
      <c r="J8" s="60">
        <f t="shared" ref="J8:L8" si="2">J9*J5/90</f>
        <v>2636668.0363636366</v>
      </c>
      <c r="K8" s="60">
        <f t="shared" si="2"/>
        <v>3383723.98</v>
      </c>
      <c r="L8" s="60">
        <f t="shared" si="2"/>
        <v>754589.28088311665</v>
      </c>
      <c r="M8" s="61">
        <f>SUM(I8:L8)</f>
        <v>8354471.0066493507</v>
      </c>
      <c r="O8" s="69"/>
    </row>
    <row r="9" spans="2:15" x14ac:dyDescent="0.2">
      <c r="B9" s="5" t="s">
        <v>120</v>
      </c>
      <c r="C9" s="71">
        <f>C8/C5*90</f>
        <v>30</v>
      </c>
      <c r="D9" s="71">
        <f t="shared" ref="D9:F9" si="3">D8/D5*90</f>
        <v>30.000004363636364</v>
      </c>
      <c r="E9" s="71">
        <f t="shared" si="3"/>
        <v>30</v>
      </c>
      <c r="F9" s="71">
        <f t="shared" si="3"/>
        <v>30.000015584415586</v>
      </c>
      <c r="G9" s="66"/>
      <c r="I9" s="71">
        <f>F9</f>
        <v>30.000015584415586</v>
      </c>
      <c r="J9" s="71">
        <f>I9</f>
        <v>30.000015584415586</v>
      </c>
      <c r="K9" s="71">
        <f t="shared" ref="K9:L9" si="4">J9</f>
        <v>30.000015584415586</v>
      </c>
      <c r="L9" s="71">
        <f t="shared" si="4"/>
        <v>30.000015584415586</v>
      </c>
      <c r="M9" s="68"/>
      <c r="O9" s="69"/>
    </row>
    <row r="10" spans="2:15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5" x14ac:dyDescent="0.2">
      <c r="B11" s="2" t="s">
        <v>117</v>
      </c>
      <c r="C11" s="60">
        <v>252579</v>
      </c>
      <c r="D11" s="60">
        <v>466032</v>
      </c>
      <c r="E11" s="60">
        <v>536756</v>
      </c>
      <c r="F11" s="60">
        <v>100000</v>
      </c>
      <c r="G11" s="61">
        <f>SUM(C11:F11)</f>
        <v>1355367</v>
      </c>
      <c r="I11" s="60">
        <f>-I12*I6/90</f>
        <v>353870.02910832589</v>
      </c>
      <c r="J11" s="60">
        <f t="shared" ref="J11:L11" si="5">-J12*J6/90</f>
        <v>541269.15509967669</v>
      </c>
      <c r="K11" s="60">
        <f t="shared" si="5"/>
        <v>667155.43568969134</v>
      </c>
      <c r="L11" s="60">
        <f t="shared" si="5"/>
        <v>130844.10418166553</v>
      </c>
      <c r="M11" s="61">
        <f>SUM(I11:L11)</f>
        <v>1693138.7240793593</v>
      </c>
      <c r="O11" s="69"/>
    </row>
    <row r="12" spans="2:15" x14ac:dyDescent="0.2">
      <c r="B12" s="5" t="s">
        <v>121</v>
      </c>
      <c r="C12" s="71">
        <f>-C11/C6*90</f>
        <v>18.352993892322413</v>
      </c>
      <c r="D12" s="71">
        <f t="shared" ref="D12:F12" si="6">-D11/D6*90</f>
        <v>18.963847888462432</v>
      </c>
      <c r="E12" s="71">
        <f t="shared" si="6"/>
        <v>18.978565254969748</v>
      </c>
      <c r="F12" s="71">
        <f t="shared" si="6"/>
        <v>19.386106623586432</v>
      </c>
      <c r="G12" s="66"/>
      <c r="I12" s="71">
        <f>F12</f>
        <v>19.386106623586432</v>
      </c>
      <c r="J12" s="71">
        <f>I12</f>
        <v>19.386106623586432</v>
      </c>
      <c r="K12" s="71">
        <f t="shared" ref="K12:L12" si="7">J12</f>
        <v>19.386106623586432</v>
      </c>
      <c r="L12" s="71">
        <f t="shared" si="7"/>
        <v>19.386106623586432</v>
      </c>
      <c r="M12" s="66"/>
      <c r="O12" s="69"/>
    </row>
    <row r="13" spans="2:15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5" x14ac:dyDescent="0.2">
      <c r="B14" s="2" t="s">
        <v>116</v>
      </c>
      <c r="C14" s="43">
        <f>SUM('2. Production Budget'!C18:C19)</f>
        <v>37600</v>
      </c>
      <c r="D14" s="43">
        <f>SUM('2. Production Budget'!D18:D19)</f>
        <v>62000</v>
      </c>
      <c r="E14" s="43">
        <f>SUM('2. Production Budget'!E18:E19)</f>
        <v>75000</v>
      </c>
      <c r="F14" s="43">
        <f>SUM('2. Production Budget'!F18:F19)</f>
        <v>15000</v>
      </c>
      <c r="G14" s="61">
        <f>SUM(C14:F14)</f>
        <v>189600</v>
      </c>
      <c r="H14" s="5"/>
      <c r="I14" s="43">
        <f>SUM('2. Production Budget'!I18:I19)</f>
        <v>40379.803174603163</v>
      </c>
      <c r="J14" s="43">
        <f>SUM('2. Production Budget'!J18:J19)</f>
        <v>67406.666666666657</v>
      </c>
      <c r="K14" s="43">
        <f>SUM('2. Production Budget'!K18:K19)</f>
        <v>86505.222222222219</v>
      </c>
      <c r="L14" s="43">
        <f>SUM('2. Production Budget'!L18:L19)</f>
        <v>19291.146031746026</v>
      </c>
      <c r="M14" s="61">
        <f>SUM(I14:L14)</f>
        <v>213582.83809523805</v>
      </c>
      <c r="N14" s="5"/>
      <c r="O14" s="70"/>
    </row>
    <row r="15" spans="2:15" x14ac:dyDescent="0.2">
      <c r="B15" s="5" t="s">
        <v>122</v>
      </c>
      <c r="C15" s="71">
        <f>-C14/C6*90</f>
        <v>2.7321058771763393</v>
      </c>
      <c r="D15" s="71">
        <f t="shared" ref="D15:F15" si="8">-D14/D6*90</f>
        <v>2.5229138108212972</v>
      </c>
      <c r="E15" s="71">
        <f t="shared" si="8"/>
        <v>2.6518425394829888</v>
      </c>
      <c r="F15" s="71">
        <f t="shared" si="8"/>
        <v>2.9079159935379644</v>
      </c>
      <c r="G15" s="66"/>
      <c r="I15" s="71">
        <f t="shared" ref="I15:L15" si="9">-I14/I6*90</f>
        <v>2.2121318715653642</v>
      </c>
      <c r="J15" s="71">
        <f t="shared" si="9"/>
        <v>2.4142384889822623</v>
      </c>
      <c r="K15" s="71">
        <f t="shared" si="9"/>
        <v>2.513656296247353</v>
      </c>
      <c r="L15" s="71">
        <f t="shared" si="9"/>
        <v>2.8582121922999768</v>
      </c>
      <c r="M15" s="66"/>
      <c r="O15" s="69"/>
    </row>
    <row r="16" spans="2:15" ht="12.75" thickBot="1" x14ac:dyDescent="0.25">
      <c r="B16" s="45" t="s">
        <v>119</v>
      </c>
      <c r="C16" s="46">
        <f>C8+C11-C14</f>
        <v>1589979</v>
      </c>
      <c r="D16" s="46">
        <f t="shared" ref="D16:F16" si="10">D8+D11-D14</f>
        <v>2695699</v>
      </c>
      <c r="E16" s="46">
        <f t="shared" si="10"/>
        <v>3211756</v>
      </c>
      <c r="F16" s="46">
        <f t="shared" si="10"/>
        <v>726667</v>
      </c>
      <c r="G16" s="46">
        <f>SUM(C16:F16)</f>
        <v>8224101</v>
      </c>
      <c r="I16" s="46">
        <f t="shared" ref="I16:L16" si="11">I8+I11-I14</f>
        <v>1892979.93533632</v>
      </c>
      <c r="J16" s="46">
        <f t="shared" si="11"/>
        <v>3110530.5247966466</v>
      </c>
      <c r="K16" s="46">
        <f t="shared" si="11"/>
        <v>3964374.1934674694</v>
      </c>
      <c r="L16" s="46">
        <f t="shared" si="11"/>
        <v>866142.23903303617</v>
      </c>
      <c r="M16" s="46">
        <f>SUM(I16:L16)</f>
        <v>9834026.8926334716</v>
      </c>
      <c r="O16" s="21">
        <f>M16/G16-1</f>
        <v>0.19575706726284992</v>
      </c>
    </row>
    <row r="18" spans="2:15" ht="12.75" thickBot="1" x14ac:dyDescent="0.25">
      <c r="B18" s="45" t="s">
        <v>118</v>
      </c>
      <c r="C18" s="46">
        <f>C9+C15-C12</f>
        <v>14.379111984853925</v>
      </c>
      <c r="D18" s="46">
        <f t="shared" ref="D18:F18" si="12">D9+D15-D12</f>
        <v>13.559070285995226</v>
      </c>
      <c r="E18" s="46">
        <f t="shared" si="12"/>
        <v>13.673277284513244</v>
      </c>
      <c r="F18" s="46">
        <f t="shared" si="12"/>
        <v>13.521824954367116</v>
      </c>
      <c r="G18" s="46"/>
      <c r="I18" s="46">
        <f t="shared" ref="I18:L18" si="13">I9+I15-I12</f>
        <v>12.826040832394515</v>
      </c>
      <c r="J18" s="46">
        <f t="shared" si="13"/>
        <v>13.028147449811417</v>
      </c>
      <c r="K18" s="46">
        <f t="shared" si="13"/>
        <v>13.127565257076508</v>
      </c>
      <c r="L18" s="46">
        <f t="shared" si="13"/>
        <v>13.472121153129134</v>
      </c>
      <c r="M18" s="46"/>
      <c r="O18" s="2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9750-A201-432B-B36C-F9AF64FC3115}">
  <sheetPr>
    <tabColor rgb="FF002060"/>
  </sheetPr>
  <dimension ref="B1:O14"/>
  <sheetViews>
    <sheetView showGridLines="0" tabSelected="1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6" width="10" style="3" bestFit="1" customWidth="1"/>
    <col min="7" max="7" width="11" style="3" bestFit="1" customWidth="1"/>
    <col min="8" max="8" width="2.28515625" style="78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78" customWidth="1"/>
    <col min="15" max="16384" width="9.140625" style="3"/>
  </cols>
  <sheetData>
    <row r="1" spans="2:15" s="8" customFormat="1" ht="15.75" x14ac:dyDescent="0.25">
      <c r="B1" s="8" t="s">
        <v>123</v>
      </c>
      <c r="H1" s="77"/>
      <c r="N1" s="77"/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79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79"/>
      <c r="O5" s="18">
        <f>M5/G5-1</f>
        <v>0.18363164108618646</v>
      </c>
    </row>
    <row r="6" spans="2:15" x14ac:dyDescent="0.2">
      <c r="B6" s="2"/>
      <c r="I6" s="36"/>
      <c r="J6" s="36"/>
      <c r="K6" s="36"/>
      <c r="L6" s="36"/>
      <c r="M6" s="37"/>
      <c r="O6" s="18"/>
    </row>
    <row r="7" spans="2:15" x14ac:dyDescent="0.2">
      <c r="B7" s="2" t="s">
        <v>124</v>
      </c>
      <c r="C7" s="60">
        <v>2040000</v>
      </c>
      <c r="D7" s="60">
        <f>C14</f>
        <v>2144250</v>
      </c>
      <c r="E7" s="60">
        <f t="shared" ref="E7:F7" si="2">D14</f>
        <v>2373416.65</v>
      </c>
      <c r="F7" s="60">
        <f t="shared" si="2"/>
        <v>2655916.65</v>
      </c>
      <c r="G7" s="61"/>
      <c r="I7" s="60">
        <f>F14</f>
        <v>2612166.65</v>
      </c>
      <c r="J7" s="60">
        <f>I14</f>
        <v>2986783.8115639747</v>
      </c>
      <c r="K7" s="60">
        <f t="shared" ref="K7:L7" si="3">J14</f>
        <v>3539724.6460189852</v>
      </c>
      <c r="L7" s="60">
        <f t="shared" si="3"/>
        <v>4233870.7062083771</v>
      </c>
      <c r="M7" s="61"/>
      <c r="O7" s="69"/>
    </row>
    <row r="8" spans="2:15" x14ac:dyDescent="0.2">
      <c r="B8" s="5"/>
      <c r="C8" s="62"/>
      <c r="D8" s="62"/>
      <c r="E8" s="62"/>
      <c r="F8" s="62"/>
      <c r="G8" s="66"/>
      <c r="I8" s="67"/>
      <c r="J8" s="67"/>
      <c r="K8" s="67"/>
      <c r="L8" s="67"/>
      <c r="M8" s="68"/>
      <c r="O8" s="69"/>
    </row>
    <row r="9" spans="2:15" x14ac:dyDescent="0.2">
      <c r="B9" s="2" t="s">
        <v>126</v>
      </c>
      <c r="C9" s="60">
        <v>206250</v>
      </c>
      <c r="D9" s="60">
        <v>343750</v>
      </c>
      <c r="E9" s="60">
        <v>412500</v>
      </c>
      <c r="F9" s="60">
        <v>96250</v>
      </c>
      <c r="G9" s="61">
        <f>SUM(C9:F9)</f>
        <v>1058750</v>
      </c>
      <c r="I9" s="60">
        <f>I5*I10</f>
        <v>236923.33333333331</v>
      </c>
      <c r="J9" s="60">
        <f t="shared" ref="J9:L9" si="4">J5*J10</f>
        <v>395500</v>
      </c>
      <c r="K9" s="60">
        <f t="shared" si="4"/>
        <v>507558.33333333331</v>
      </c>
      <c r="L9" s="60">
        <f t="shared" si="4"/>
        <v>113188.33333333331</v>
      </c>
      <c r="M9" s="61">
        <f>SUM(I9:L9)</f>
        <v>1253169.9999999998</v>
      </c>
      <c r="O9" s="69"/>
    </row>
    <row r="10" spans="2:15" s="5" customFormat="1" x14ac:dyDescent="0.2">
      <c r="B10" s="5" t="s">
        <v>104</v>
      </c>
      <c r="C10" s="72">
        <f>C9/C5</f>
        <v>0.05</v>
      </c>
      <c r="D10" s="72">
        <f t="shared" ref="D10:F10" si="5">D9/D5</f>
        <v>0.05</v>
      </c>
      <c r="E10" s="72">
        <f t="shared" si="5"/>
        <v>0.05</v>
      </c>
      <c r="F10" s="72">
        <f t="shared" si="5"/>
        <v>0.05</v>
      </c>
      <c r="G10" s="66"/>
      <c r="H10" s="79"/>
      <c r="I10" s="72">
        <f>F10</f>
        <v>0.05</v>
      </c>
      <c r="J10" s="72">
        <f>I10</f>
        <v>0.05</v>
      </c>
      <c r="K10" s="72">
        <f>J10</f>
        <v>0.05</v>
      </c>
      <c r="L10" s="72">
        <f>K10</f>
        <v>0.05</v>
      </c>
      <c r="M10" s="66"/>
      <c r="N10" s="79"/>
      <c r="O10" s="69"/>
    </row>
    <row r="11" spans="2:15" x14ac:dyDescent="0.2">
      <c r="B11" s="5"/>
      <c r="C11" s="5"/>
      <c r="D11" s="5"/>
      <c r="E11" s="5"/>
      <c r="F11" s="5"/>
      <c r="G11" s="5"/>
      <c r="H11" s="79"/>
      <c r="I11" s="5"/>
      <c r="J11" s="5"/>
      <c r="K11" s="5"/>
      <c r="L11" s="5"/>
      <c r="M11" s="5"/>
      <c r="N11" s="79"/>
      <c r="O11" s="70"/>
    </row>
    <row r="12" spans="2:15" x14ac:dyDescent="0.2">
      <c r="B12" s="2" t="s">
        <v>127</v>
      </c>
      <c r="C12" s="43">
        <v>-102000</v>
      </c>
      <c r="D12" s="43">
        <v>-114583.35</v>
      </c>
      <c r="E12" s="43">
        <v>-130000</v>
      </c>
      <c r="F12" s="43">
        <v>-140000</v>
      </c>
      <c r="G12" s="61">
        <f>SUM(C12:F12)</f>
        <v>-486583.35</v>
      </c>
      <c r="H12" s="79"/>
      <c r="I12" s="43">
        <f>-I7*I13</f>
        <v>-137693.8282306412</v>
      </c>
      <c r="J12" s="43">
        <f t="shared" ref="J12:L12" si="6">-J7*J13</f>
        <v>-157440.83445501066</v>
      </c>
      <c r="K12" s="43">
        <f t="shared" si="6"/>
        <v>-186587.72685605849</v>
      </c>
      <c r="L12" s="43">
        <f t="shared" si="6"/>
        <v>-223177.8993776679</v>
      </c>
      <c r="M12" s="61">
        <f>SUM(I12:L12)</f>
        <v>-704900.2889193783</v>
      </c>
      <c r="N12" s="79"/>
      <c r="O12" s="70"/>
    </row>
    <row r="13" spans="2:15" s="41" customFormat="1" x14ac:dyDescent="0.2">
      <c r="B13" s="41" t="s">
        <v>128</v>
      </c>
      <c r="C13" s="73">
        <f>-C12/C7</f>
        <v>0.05</v>
      </c>
      <c r="D13" s="73">
        <f t="shared" ref="D13:F13" si="7">-D12/D7</f>
        <v>5.3437495627841905E-2</v>
      </c>
      <c r="E13" s="73">
        <f t="shared" si="7"/>
        <v>5.4773358061678719E-2</v>
      </c>
      <c r="F13" s="73">
        <f t="shared" si="7"/>
        <v>5.2712497585344027E-2</v>
      </c>
      <c r="G13" s="74"/>
      <c r="H13" s="80"/>
      <c r="I13" s="73">
        <f>F13</f>
        <v>5.2712497585344027E-2</v>
      </c>
      <c r="J13" s="73">
        <f>I13</f>
        <v>5.2712497585344027E-2</v>
      </c>
      <c r="K13" s="73">
        <f t="shared" ref="K13:L13" si="8">J13</f>
        <v>5.2712497585344027E-2</v>
      </c>
      <c r="L13" s="73">
        <f t="shared" si="8"/>
        <v>5.2712497585344027E-2</v>
      </c>
      <c r="M13" s="74"/>
      <c r="N13" s="80"/>
      <c r="O13" s="75"/>
    </row>
    <row r="14" spans="2:15" ht="12.75" thickBot="1" x14ac:dyDescent="0.25">
      <c r="B14" s="45" t="s">
        <v>125</v>
      </c>
      <c r="C14" s="46">
        <f>C7+C9+C12</f>
        <v>2144250</v>
      </c>
      <c r="D14" s="46">
        <f t="shared" ref="D14:F14" si="9">D7+D9+D12</f>
        <v>2373416.65</v>
      </c>
      <c r="E14" s="46">
        <f t="shared" si="9"/>
        <v>2655916.65</v>
      </c>
      <c r="F14" s="46">
        <f t="shared" si="9"/>
        <v>2612166.65</v>
      </c>
      <c r="G14" s="46"/>
      <c r="I14" s="46">
        <f>I7+I9-I12</f>
        <v>2986783.8115639747</v>
      </c>
      <c r="J14" s="46">
        <f t="shared" ref="J14:L14" si="10">J7+J9-J12</f>
        <v>3539724.6460189852</v>
      </c>
      <c r="K14" s="46">
        <f t="shared" si="10"/>
        <v>4233870.7062083771</v>
      </c>
      <c r="L14" s="46">
        <f t="shared" si="10"/>
        <v>4570236.9389193784</v>
      </c>
      <c r="M14" s="46"/>
      <c r="O14" s="7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7F63-E7EC-4222-8DB8-2A1FEE7E7267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A53A-1506-449B-BC4D-3EB346864E1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8B23-F6A7-4FA0-ABBB-5BC62C7CD0C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EBE6-697C-49C8-BA0E-47BB9F07A2B4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764-BA87-4979-8EA4-8D409B07C9B0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Sheet1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  <vt:lpstr>Cash Budget</vt:lpstr>
      <vt:lpstr>5. Working Capital Budget</vt:lpstr>
      <vt:lpstr>6. Fixed Assets Budget</vt:lpstr>
      <vt:lpstr>7. Loan Repayment Schedule</vt:lpstr>
      <vt:lpstr>Master Budget</vt:lpstr>
      <vt:lpstr>Income Statement</vt:lpstr>
      <vt:lpstr>Balance Sheet</vt:lpstr>
      <vt:lpstr>Cash Flow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2023-05-13T20:33:13Z</dcterms:modified>
</cp:coreProperties>
</file>