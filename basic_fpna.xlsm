
<file path=[Content_Types].xml><?xml version="1.0" encoding="utf-8"?>
<Types xmlns="http://schemas.openxmlformats.org/package/2006/content-types"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6327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D:\fpa_fin_model_automation\"/>
    </mc:Choice>
  </mc:AlternateContent>
  <xr:revisionPtr revIDLastSave="0" documentId="13_ncr:1_{1A3B563E-327E-45F2-AB37-16686DB022C7}" xr6:coauthVersionLast="47" xr6:coauthVersionMax="47" xr10:uidLastSave="{00000000-0000-0000-0000-000000000000}"/>
  <bookViews>
    <workbookView xWindow="-120" yWindow="-120" windowWidth="29040" windowHeight="15720" activeTab="3" xr2:uid="{ED6377EC-A122-43D9-A1FA-17E5AA1FE5E4}"/>
  </bookViews>
  <sheets>
    <sheet name="Sheet1" sheetId="1" r:id="rId1"/>
    <sheet name="Operating Budget" sheetId="22" r:id="rId2"/>
    <sheet name="1. Sales &amp; Production Budget" sheetId="24" r:id="rId3"/>
    <sheet name="1.a Bottom-up Approach" sheetId="26" r:id="rId4"/>
    <sheet name="1.b Top-down Approach" sheetId="27" r:id="rId5"/>
  </sheet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L6" i="24" l="1"/>
  <c r="K6" i="24"/>
  <c r="J6" i="24"/>
  <c r="L5" i="24"/>
  <c r="K5" i="24"/>
  <c r="J5" i="24"/>
  <c r="I6" i="24"/>
  <c r="I20" i="24" s="1"/>
  <c r="I5" i="24"/>
  <c r="I19" i="24"/>
  <c r="J19" i="24"/>
  <c r="J21" i="24" s="1"/>
  <c r="L20" i="24"/>
  <c r="K20" i="24"/>
  <c r="J20" i="24"/>
  <c r="L19" i="24"/>
  <c r="K19" i="24"/>
  <c r="K21" i="24" s="1"/>
  <c r="L21" i="24"/>
  <c r="M9" i="24"/>
  <c r="L9" i="24"/>
  <c r="K9" i="24"/>
  <c r="J9" i="24"/>
  <c r="M8" i="24"/>
  <c r="L8" i="24"/>
  <c r="K8" i="24"/>
  <c r="J8" i="24"/>
  <c r="I9" i="24"/>
  <c r="I8" i="24"/>
  <c r="M15" i="24"/>
  <c r="L15" i="24"/>
  <c r="K15" i="24"/>
  <c r="J15" i="24"/>
  <c r="M14" i="24"/>
  <c r="L14" i="24"/>
  <c r="K14" i="24"/>
  <c r="J14" i="24"/>
  <c r="I15" i="24"/>
  <c r="I14" i="24"/>
  <c r="C26" i="24"/>
  <c r="C25" i="24"/>
  <c r="C24" i="24"/>
  <c r="O24" i="26"/>
  <c r="F10" i="24"/>
  <c r="E10" i="24"/>
  <c r="D10" i="24"/>
  <c r="C10" i="24"/>
  <c r="G15" i="24"/>
  <c r="G14" i="24"/>
  <c r="F15" i="24"/>
  <c r="E15" i="24"/>
  <c r="D15" i="24"/>
  <c r="C15" i="24"/>
  <c r="F14" i="24"/>
  <c r="E14" i="24"/>
  <c r="D14" i="24"/>
  <c r="C14" i="24"/>
  <c r="F6" i="24"/>
  <c r="F20" i="24" s="1"/>
  <c r="E6" i="24"/>
  <c r="E20" i="24" s="1"/>
  <c r="D6" i="24"/>
  <c r="D20" i="24" s="1"/>
  <c r="C6" i="24"/>
  <c r="C20" i="24" s="1"/>
  <c r="F5" i="24"/>
  <c r="F19" i="24" s="1"/>
  <c r="F21" i="24" s="1"/>
  <c r="E5" i="24"/>
  <c r="E19" i="24" s="1"/>
  <c r="E21" i="24" s="1"/>
  <c r="D5" i="24"/>
  <c r="D19" i="24" s="1"/>
  <c r="C5" i="24"/>
  <c r="D9" i="24"/>
  <c r="F8" i="24"/>
  <c r="C19" i="24"/>
  <c r="E9" i="24"/>
  <c r="O6" i="27"/>
  <c r="O7" i="27"/>
  <c r="M7" i="27"/>
  <c r="L7" i="27"/>
  <c r="K7" i="27"/>
  <c r="J7" i="27"/>
  <c r="I7" i="27"/>
  <c r="G7" i="27"/>
  <c r="G5" i="27"/>
  <c r="F7" i="27"/>
  <c r="E7" i="27"/>
  <c r="D7" i="27"/>
  <c r="C7" i="27"/>
  <c r="L5" i="27"/>
  <c r="K5" i="27"/>
  <c r="J5" i="27"/>
  <c r="I5" i="27"/>
  <c r="M18" i="26"/>
  <c r="M17" i="26"/>
  <c r="L18" i="26"/>
  <c r="K18" i="26"/>
  <c r="J18" i="26"/>
  <c r="I18" i="26"/>
  <c r="I17" i="26"/>
  <c r="O13" i="26"/>
  <c r="L9" i="26"/>
  <c r="K9" i="26"/>
  <c r="J9" i="26"/>
  <c r="L8" i="26"/>
  <c r="K8" i="26"/>
  <c r="J8" i="26"/>
  <c r="I9" i="26"/>
  <c r="I8" i="26"/>
  <c r="M12" i="26"/>
  <c r="M11" i="26"/>
  <c r="M9" i="26"/>
  <c r="L12" i="26"/>
  <c r="K12" i="26"/>
  <c r="K11" i="26"/>
  <c r="L11" i="26" s="1"/>
  <c r="J12" i="26"/>
  <c r="J11" i="26"/>
  <c r="I12" i="26"/>
  <c r="I11" i="26"/>
  <c r="L13" i="26"/>
  <c r="K13" i="26"/>
  <c r="J13" i="26"/>
  <c r="I13" i="26"/>
  <c r="F13" i="26"/>
  <c r="E13" i="26"/>
  <c r="D13" i="26"/>
  <c r="C13" i="26"/>
  <c r="C11" i="26" s="1"/>
  <c r="L5" i="26"/>
  <c r="K5" i="26"/>
  <c r="J5" i="26"/>
  <c r="I5" i="26"/>
  <c r="M5" i="26" s="1"/>
  <c r="M6" i="26"/>
  <c r="L6" i="26"/>
  <c r="K6" i="26"/>
  <c r="J6" i="26"/>
  <c r="I6" i="26"/>
  <c r="K23" i="26"/>
  <c r="L22" i="26"/>
  <c r="K22" i="26"/>
  <c r="J22" i="26"/>
  <c r="G24" i="26"/>
  <c r="F24" i="26"/>
  <c r="E24" i="26"/>
  <c r="D24" i="26"/>
  <c r="C24" i="26"/>
  <c r="G23" i="26"/>
  <c r="G22" i="26"/>
  <c r="F23" i="26"/>
  <c r="E23" i="26"/>
  <c r="D23" i="26"/>
  <c r="C23" i="26"/>
  <c r="F22" i="26"/>
  <c r="E22" i="26"/>
  <c r="D22" i="26"/>
  <c r="C22" i="26"/>
  <c r="G9" i="26"/>
  <c r="G8" i="26"/>
  <c r="G6" i="26"/>
  <c r="G5" i="26"/>
  <c r="F12" i="26"/>
  <c r="E12" i="26"/>
  <c r="D12" i="26"/>
  <c r="I21" i="24" l="1"/>
  <c r="M21" i="24" s="1"/>
  <c r="O21" i="24" s="1"/>
  <c r="G5" i="24"/>
  <c r="G20" i="24"/>
  <c r="G6" i="24"/>
  <c r="C9" i="24"/>
  <c r="G19" i="24"/>
  <c r="G21" i="24"/>
  <c r="D8" i="24"/>
  <c r="E8" i="24"/>
  <c r="C8" i="24"/>
  <c r="G10" i="24"/>
  <c r="G8" i="24" s="1"/>
  <c r="C21" i="24"/>
  <c r="F9" i="24"/>
  <c r="D21" i="24"/>
  <c r="M5" i="27"/>
  <c r="L23" i="26"/>
  <c r="J23" i="26"/>
  <c r="I23" i="26"/>
  <c r="M23" i="26" s="1"/>
  <c r="K24" i="26"/>
  <c r="J24" i="26"/>
  <c r="L24" i="26"/>
  <c r="M13" i="26"/>
  <c r="G13" i="26"/>
  <c r="G12" i="26" s="1"/>
  <c r="D11" i="26"/>
  <c r="E11" i="26"/>
  <c r="F11" i="26"/>
  <c r="C12" i="26"/>
  <c r="M10" i="24" l="1"/>
  <c r="O10" i="24" s="1"/>
  <c r="G9" i="24"/>
  <c r="G11" i="26"/>
  <c r="M5" i="24" l="1"/>
  <c r="M6" i="24"/>
  <c r="M20" i="24"/>
  <c r="M19" i="24" l="1"/>
  <c r="I22" i="26" l="1"/>
  <c r="M22" i="26" s="1"/>
  <c r="M8" i="26"/>
  <c r="M24" i="26" l="1"/>
  <c r="I24" i="26"/>
</calcChain>
</file>

<file path=xl/sharedStrings.xml><?xml version="1.0" encoding="utf-8"?>
<sst xmlns="http://schemas.openxmlformats.org/spreadsheetml/2006/main" count="123" uniqueCount="37">
  <si>
    <t>Title Placeholder</t>
  </si>
  <si>
    <t>Sales - Top-down Approach Budget</t>
  </si>
  <si>
    <t>Sales Volume</t>
  </si>
  <si>
    <t>Total</t>
  </si>
  <si>
    <t>Sales Value</t>
  </si>
  <si>
    <t>Sales Budget - Mixed Triangulation Approach and Production Budget</t>
  </si>
  <si>
    <t>Sales Budget - Bottom-up Approach</t>
  </si>
  <si>
    <t>Online</t>
  </si>
  <si>
    <t>Offline</t>
  </si>
  <si>
    <t>Blue Shirts</t>
  </si>
  <si>
    <t>Red Shirts</t>
  </si>
  <si>
    <t>in unit</t>
  </si>
  <si>
    <t>in CAD</t>
  </si>
  <si>
    <t>Q1</t>
  </si>
  <si>
    <t>Q2</t>
  </si>
  <si>
    <t>Q3</t>
  </si>
  <si>
    <t>Q4</t>
  </si>
  <si>
    <t>Sales Price</t>
  </si>
  <si>
    <t>Total Sales Volume</t>
  </si>
  <si>
    <t>Total Sales Value</t>
  </si>
  <si>
    <t>Blue Shirts %</t>
  </si>
  <si>
    <t>Red Shirts %</t>
  </si>
  <si>
    <t>Actual</t>
  </si>
  <si>
    <t>Forecast</t>
  </si>
  <si>
    <t xml:space="preserve">Growth % </t>
  </si>
  <si>
    <t>Total Industry</t>
  </si>
  <si>
    <t>Market Share</t>
  </si>
  <si>
    <t>Growth %, MS Gain</t>
  </si>
  <si>
    <t>Sales Growth</t>
  </si>
  <si>
    <t>Bottom-up Approach</t>
  </si>
  <si>
    <t>Top-down Approach</t>
  </si>
  <si>
    <t>Average Sales Growth</t>
  </si>
  <si>
    <t>&gt;&gt;&gt; Volume planning using CRM</t>
  </si>
  <si>
    <t>&gt;&gt;&gt; Industry forecasting using the statistical model</t>
  </si>
  <si>
    <t>&gt;&gt;&gt; Sales Volume Revision</t>
  </si>
  <si>
    <t>&gt;&gt;&gt; Market share preservation strategy</t>
  </si>
  <si>
    <t>&gt;&gt;&gt; Raw material inflation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</si>
</sst>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3">
    <numFmt numFmtId="43" formatCode="_(* #,##0.00_);_(* \(#,##0.00\);_(* &quot;-&quot;??_);_(@_)"/>
    <numFmt numFmtId="165" formatCode="_(* #,##0_);_(* \(#,##0\);_(* &quot;-&quot;??_);_(@_)"/>
    <numFmt numFmtId="166" formatCode="0.0%"/>
  </numFmts>
  <fonts count="9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9"/>
      <color rgb="FF002060"/>
      <name val="Arial"/>
      <family val="2"/>
    </font>
    <font>
      <b/>
      <sz val="9"/>
      <color theme="1"/>
      <name val="Arial"/>
      <family val="2"/>
    </font>
    <font>
      <sz val="9"/>
      <color rgb="FF002060"/>
      <name val="Arial"/>
      <family val="2"/>
    </font>
    <font>
      <sz val="9"/>
      <color theme="1"/>
      <name val="Arial"/>
      <family val="2"/>
    </font>
    <font>
      <sz val="12"/>
      <color rgb="FF002060"/>
      <name val="Arial"/>
      <family val="2"/>
    </font>
    <font>
      <b/>
      <sz val="12"/>
      <color rgb="FF002060"/>
      <name val="Arial"/>
      <family val="2"/>
    </font>
    <font>
      <sz val="8"/>
      <name val="Calibri"/>
      <family val="2"/>
      <scheme val="minor"/>
    </font>
  </fonts>
  <fills count="4">
    <fill>
      <patternFill patternType="none"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rgb="FFFFFF00"/>
        <bgColor indexed="64"/>
      </patternFill>
    </fill>
  </fills>
  <borders count="5">
    <border>
      <left/>
      <right/>
      <top/>
      <bottom/>
      <diagonal/>
    </border>
    <border>
      <left/>
      <right/>
      <top/>
      <bottom style="medium">
        <color rgb="FF002060"/>
      </bottom>
      <diagonal/>
    </border>
    <border>
      <left/>
      <right/>
      <top style="thin">
        <color rgb="FF002060"/>
      </top>
      <bottom style="medium">
        <color rgb="FF002060"/>
      </bottom>
      <diagonal/>
    </border>
    <border>
      <left/>
      <right/>
      <top/>
      <bottom style="thin">
        <color auto="1"/>
      </bottom>
      <diagonal/>
    </border>
    <border>
      <left/>
      <right/>
      <top style="thin">
        <color auto="1"/>
      </top>
      <bottom style="medium">
        <color auto="1"/>
      </bottom>
      <diagonal/>
    </border>
  </borders>
  <cellStyleXfs count="3">
    <xf numFmtId="0" fontId="0" fillId="0" borderId="0"/>
    <xf numFmtId="43" fontId="1" fillId="0" borderId="0" applyFont="0" applyFill="0" applyBorder="0" applyAlignment="0" applyProtection="0"/>
    <xf numFmtId="9" fontId="1" fillId="0" borderId="0" applyFont="0" applyFill="0" applyBorder="0" applyAlignment="0" applyProtection="0"/>
  </cellStyleXfs>
  <cellXfs count="32">
    <xf numFmtId="0" fontId="0" fillId="0" borderId="0" xfId="0"/>
    <xf numFmtId="0" fontId="2" fillId="2" borderId="0" xfId="0" applyFont="1" applyFill="1"/>
    <xf numFmtId="0" fontId="3" fillId="2" borderId="0" xfId="0" applyFont="1" applyFill="1"/>
    <xf numFmtId="0" fontId="4" fillId="2" borderId="0" xfId="0" applyFont="1" applyFill="1"/>
    <xf numFmtId="0" fontId="2" fillId="2" borderId="1" xfId="0" applyFont="1" applyFill="1" applyBorder="1"/>
    <xf numFmtId="0" fontId="5" fillId="2" borderId="0" xfId="0" applyFont="1" applyFill="1"/>
    <xf numFmtId="0" fontId="2" fillId="2" borderId="2" xfId="0" applyFont="1" applyFill="1" applyBorder="1"/>
    <xf numFmtId="0" fontId="6" fillId="2" borderId="0" xfId="0" applyFont="1" applyFill="1"/>
    <xf numFmtId="0" fontId="7" fillId="2" borderId="0" xfId="0" applyFont="1" applyFill="1"/>
    <xf numFmtId="0" fontId="2" fillId="2" borderId="0" xfId="0" applyFont="1" applyFill="1" applyBorder="1"/>
    <xf numFmtId="0" fontId="2" fillId="2" borderId="1" xfId="0" applyFont="1" applyFill="1" applyBorder="1" applyAlignment="1">
      <alignment horizontal="right"/>
    </xf>
    <xf numFmtId="0" fontId="2" fillId="2" borderId="1" xfId="0" applyFont="1" applyFill="1" applyBorder="1" applyAlignment="1">
      <alignment horizontal="left"/>
    </xf>
    <xf numFmtId="165" fontId="4" fillId="2" borderId="0" xfId="0" applyNumberFormat="1" applyFont="1" applyFill="1"/>
    <xf numFmtId="165" fontId="2" fillId="2" borderId="4" xfId="0" applyNumberFormat="1" applyFont="1" applyFill="1" applyBorder="1"/>
    <xf numFmtId="9" fontId="2" fillId="2" borderId="0" xfId="2" applyFont="1" applyFill="1"/>
    <xf numFmtId="165" fontId="5" fillId="2" borderId="0" xfId="1" applyNumberFormat="1" applyFont="1" applyFill="1"/>
    <xf numFmtId="165" fontId="3" fillId="2" borderId="0" xfId="1" applyNumberFormat="1" applyFont="1" applyFill="1"/>
    <xf numFmtId="165" fontId="3" fillId="2" borderId="0" xfId="0" applyNumberFormat="1" applyFont="1" applyFill="1" applyBorder="1" applyAlignment="1">
      <alignment horizontal="right"/>
    </xf>
    <xf numFmtId="9" fontId="5" fillId="2" borderId="0" xfId="2" applyFont="1" applyFill="1"/>
    <xf numFmtId="9" fontId="3" fillId="2" borderId="0" xfId="2" applyFont="1" applyFill="1"/>
    <xf numFmtId="165" fontId="5" fillId="2" borderId="0" xfId="0" applyNumberFormat="1" applyFont="1" applyFill="1"/>
    <xf numFmtId="165" fontId="3" fillId="2" borderId="0" xfId="0" applyNumberFormat="1" applyFont="1" applyFill="1"/>
    <xf numFmtId="9" fontId="2" fillId="2" borderId="4" xfId="2" applyFont="1" applyFill="1" applyBorder="1"/>
    <xf numFmtId="9" fontId="5" fillId="2" borderId="0" xfId="0" applyNumberFormat="1" applyFont="1" applyFill="1"/>
    <xf numFmtId="43" fontId="4" fillId="2" borderId="0" xfId="0" applyNumberFormat="1" applyFont="1" applyFill="1"/>
    <xf numFmtId="0" fontId="5" fillId="2" borderId="3" xfId="0" applyFont="1" applyFill="1" applyBorder="1"/>
    <xf numFmtId="166" fontId="5" fillId="2" borderId="0" xfId="0" applyNumberFormat="1" applyFont="1" applyFill="1"/>
    <xf numFmtId="166" fontId="5" fillId="2" borderId="3" xfId="0" applyNumberFormat="1" applyFont="1" applyFill="1" applyBorder="1"/>
    <xf numFmtId="166" fontId="2" fillId="2" borderId="0" xfId="0" applyNumberFormat="1" applyFont="1" applyFill="1"/>
    <xf numFmtId="166" fontId="2" fillId="2" borderId="4" xfId="2" applyNumberFormat="1" applyFont="1" applyFill="1" applyBorder="1"/>
    <xf numFmtId="9" fontId="2" fillId="2" borderId="4" xfId="2" applyNumberFormat="1" applyFont="1" applyFill="1" applyBorder="1"/>
    <xf numFmtId="165" fontId="2" fillId="3" borderId="4" xfId="0" applyNumberFormat="1" applyFont="1" applyFill="1" applyBorder="1"/>
  </cellXfs>
  <cellStyles count="3">
    <cellStyle name="Comma" xfId="1" builtinId="3"/>
    <cellStyle name="Normal" xfId="0" builtinId="0"/>
    <cellStyle name="Percent" xfId="2" builtinId="5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worksheet" Target="worksheets/sheet5.xml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E49AD8D-CA77-429E-AB9B-53532658517F}">
  <sheetPr codeName="Sheet1"/>
  <dimension ref="B1"/>
  <sheetViews>
    <sheetView showGridLines="0" workbookViewId="0">
      <selection activeCell="B1" sqref="B1"/>
    </sheetView>
  </sheetViews>
  <sheetFormatPr defaultRowHeight="12" x14ac:dyDescent="0.2"/>
  <cols>
    <col min="1" max="1" width="2.28515625" style="3" customWidth="1"/>
    <col min="2" max="16384" width="9.140625" style="3"/>
  </cols>
  <sheetData>
    <row r="1" spans="2:2" s="7" customFormat="1" ht="15.75" x14ac:dyDescent="0.25">
      <c r="B1" s="8" t="s">
        <v>0</v>
      </c>
    </row>
  </sheetData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985C4F8-F7C7-4BC2-8BEB-33B1E93B167A}">
  <sheetPr codeName="Sheet22">
    <tabColor rgb="FF002060"/>
  </sheetPr>
  <dimension ref="B1"/>
  <sheetViews>
    <sheetView showGridLines="0" workbookViewId="0">
      <selection activeCell="B1" sqref="B1"/>
    </sheetView>
  </sheetViews>
  <sheetFormatPr defaultRowHeight="12" x14ac:dyDescent="0.2"/>
  <cols>
    <col min="1" max="1" width="2.28515625" style="3" customWidth="1"/>
    <col min="2" max="16384" width="9.140625" style="3"/>
  </cols>
  <sheetData>
    <row r="1" spans="2:2" s="7" customFormat="1" ht="15.75" x14ac:dyDescent="0.25">
      <c r="B1" s="8" t="s">
        <v>0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ACB5465-1403-4A0E-9E84-06A0459F8460}">
  <sheetPr codeName="Sheet24">
    <tabColor rgb="FF002060"/>
  </sheetPr>
  <dimension ref="B1:P26"/>
  <sheetViews>
    <sheetView showGridLines="0" workbookViewId="0">
      <selection activeCell="C25" sqref="C25"/>
    </sheetView>
  </sheetViews>
  <sheetFormatPr defaultRowHeight="12" x14ac:dyDescent="0.2"/>
  <cols>
    <col min="1" max="1" width="2.28515625" style="3" customWidth="1"/>
    <col min="2" max="2" width="20.5703125" style="3" customWidth="1"/>
    <col min="3" max="6" width="10" style="3" bestFit="1" customWidth="1"/>
    <col min="7" max="7" width="11" style="3" bestFit="1" customWidth="1"/>
    <col min="8" max="8" width="2.28515625" style="3" customWidth="1"/>
    <col min="9" max="10" width="10" style="3" bestFit="1" customWidth="1"/>
    <col min="11" max="11" width="11" style="3" bestFit="1" customWidth="1"/>
    <col min="12" max="12" width="10" style="3" bestFit="1" customWidth="1"/>
    <col min="13" max="13" width="11" style="3" bestFit="1" customWidth="1"/>
    <col min="14" max="16384" width="9.140625" style="3"/>
  </cols>
  <sheetData>
    <row r="1" spans="2:16" s="7" customFormat="1" ht="15.75" x14ac:dyDescent="0.25">
      <c r="B1" s="8" t="s">
        <v>5</v>
      </c>
    </row>
    <row r="3" spans="2:16" x14ac:dyDescent="0.2">
      <c r="B3" s="1" t="s">
        <v>2</v>
      </c>
      <c r="C3" s="1">
        <v>2022</v>
      </c>
      <c r="D3" s="1">
        <v>2022</v>
      </c>
      <c r="E3" s="1">
        <v>2022</v>
      </c>
      <c r="F3" s="1">
        <v>2022</v>
      </c>
      <c r="G3" s="1">
        <v>2022</v>
      </c>
      <c r="I3" s="1">
        <v>2023</v>
      </c>
      <c r="J3" s="1">
        <v>2023</v>
      </c>
      <c r="K3" s="1">
        <v>2023</v>
      </c>
      <c r="L3" s="1">
        <v>2023</v>
      </c>
      <c r="M3" s="1">
        <v>2023</v>
      </c>
      <c r="O3" s="1">
        <v>2023</v>
      </c>
    </row>
    <row r="4" spans="2:16" ht="12.75" thickBot="1" x14ac:dyDescent="0.25">
      <c r="B4" s="4" t="s">
        <v>11</v>
      </c>
      <c r="C4" s="10" t="s">
        <v>13</v>
      </c>
      <c r="D4" s="10" t="s">
        <v>14</v>
      </c>
      <c r="E4" s="10" t="s">
        <v>15</v>
      </c>
      <c r="F4" s="10" t="s">
        <v>16</v>
      </c>
      <c r="G4" s="10" t="s">
        <v>22</v>
      </c>
      <c r="I4" s="10" t="s">
        <v>13</v>
      </c>
      <c r="J4" s="10" t="s">
        <v>14</v>
      </c>
      <c r="K4" s="10" t="s">
        <v>15</v>
      </c>
      <c r="L4" s="10" t="s">
        <v>16</v>
      </c>
      <c r="M4" s="10" t="s">
        <v>23</v>
      </c>
      <c r="O4" s="11" t="s">
        <v>24</v>
      </c>
    </row>
    <row r="5" spans="2:16" x14ac:dyDescent="0.2">
      <c r="B5" s="5" t="s">
        <v>9</v>
      </c>
      <c r="C5" s="15">
        <f>'1.a Bottom-up Approach'!C8</f>
        <v>150000</v>
      </c>
      <c r="D5" s="15">
        <f>'1.a Bottom-up Approach'!D8</f>
        <v>250000</v>
      </c>
      <c r="E5" s="15">
        <f>'1.a Bottom-up Approach'!E8</f>
        <v>300000</v>
      </c>
      <c r="F5" s="15">
        <f>'1.a Bottom-up Approach'!F8</f>
        <v>70000</v>
      </c>
      <c r="G5" s="16">
        <f>SUM(C5:F5)</f>
        <v>770000</v>
      </c>
      <c r="I5" s="15">
        <f>I$10*I$8</f>
        <v>167733.33333333331</v>
      </c>
      <c r="J5" s="15">
        <f t="shared" ref="J5:L5" si="0">J$10*J$8</f>
        <v>280000</v>
      </c>
      <c r="K5" s="15">
        <f t="shared" si="0"/>
        <v>359333.33333333331</v>
      </c>
      <c r="L5" s="15">
        <f t="shared" si="0"/>
        <v>80133.333333333314</v>
      </c>
      <c r="M5" s="16">
        <f>SUM(I5:L5)</f>
        <v>887200</v>
      </c>
      <c r="N5" s="12"/>
      <c r="O5" s="16"/>
    </row>
    <row r="6" spans="2:16" x14ac:dyDescent="0.2">
      <c r="B6" s="5" t="s">
        <v>10</v>
      </c>
      <c r="C6" s="15">
        <f>'1.a Bottom-up Approach'!C9</f>
        <v>75000</v>
      </c>
      <c r="D6" s="15">
        <f>'1.a Bottom-up Approach'!D9</f>
        <v>125000</v>
      </c>
      <c r="E6" s="15">
        <f>'1.a Bottom-up Approach'!E9</f>
        <v>150000</v>
      </c>
      <c r="F6" s="15">
        <f>'1.a Bottom-up Approach'!F9</f>
        <v>35000</v>
      </c>
      <c r="G6" s="16">
        <f>SUM(C6:F6)</f>
        <v>385000</v>
      </c>
      <c r="I6" s="15">
        <f>I$10*I$9</f>
        <v>83866.666666666657</v>
      </c>
      <c r="J6" s="15">
        <f t="shared" ref="J6:L6" si="1">J$10*J$9</f>
        <v>140000</v>
      </c>
      <c r="K6" s="15">
        <f t="shared" si="1"/>
        <v>179666.66666666666</v>
      </c>
      <c r="L6" s="15">
        <f t="shared" si="1"/>
        <v>40066.666666666657</v>
      </c>
      <c r="M6" s="16">
        <f>SUM(I6:L6)</f>
        <v>443600</v>
      </c>
      <c r="O6" s="16"/>
    </row>
    <row r="7" spans="2:16" x14ac:dyDescent="0.2">
      <c r="B7" s="5"/>
      <c r="C7" s="5"/>
      <c r="D7" s="5"/>
      <c r="E7" s="5"/>
      <c r="F7" s="5"/>
      <c r="G7" s="2"/>
      <c r="I7" s="5"/>
      <c r="J7" s="5"/>
      <c r="K7" s="5"/>
      <c r="L7" s="5"/>
      <c r="M7" s="2"/>
      <c r="O7" s="2"/>
    </row>
    <row r="8" spans="2:16" x14ac:dyDescent="0.2">
      <c r="B8" s="5" t="s">
        <v>20</v>
      </c>
      <c r="C8" s="18">
        <f>C5/C$10</f>
        <v>0.66666666666666663</v>
      </c>
      <c r="D8" s="18">
        <f t="shared" ref="D8:G9" si="2">D5/D$10</f>
        <v>0.66666666666666663</v>
      </c>
      <c r="E8" s="18">
        <f t="shared" si="2"/>
        <v>0.66666666666666663</v>
      </c>
      <c r="F8" s="18">
        <f t="shared" si="2"/>
        <v>0.66666666666666663</v>
      </c>
      <c r="G8" s="19">
        <f t="shared" si="2"/>
        <v>0.66666666666666663</v>
      </c>
      <c r="I8" s="18">
        <f>'1.a Bottom-up Approach'!I11</f>
        <v>0.66666666666666663</v>
      </c>
      <c r="J8" s="18">
        <f>'1.a Bottom-up Approach'!J11</f>
        <v>0.66666666666666663</v>
      </c>
      <c r="K8" s="18">
        <f>'1.a Bottom-up Approach'!K11</f>
        <v>0.66666666666666663</v>
      </c>
      <c r="L8" s="18">
        <f>'1.a Bottom-up Approach'!L11</f>
        <v>0.66666666666666663</v>
      </c>
      <c r="M8" s="18">
        <f>'1.a Bottom-up Approach'!M11</f>
        <v>0.66666666666666663</v>
      </c>
      <c r="O8" s="19"/>
    </row>
    <row r="9" spans="2:16" x14ac:dyDescent="0.2">
      <c r="B9" s="5" t="s">
        <v>21</v>
      </c>
      <c r="C9" s="18">
        <f>C6/C$10</f>
        <v>0.33333333333333331</v>
      </c>
      <c r="D9" s="18">
        <f t="shared" si="2"/>
        <v>0.33333333333333331</v>
      </c>
      <c r="E9" s="18">
        <f t="shared" si="2"/>
        <v>0.33333333333333331</v>
      </c>
      <c r="F9" s="18">
        <f t="shared" si="2"/>
        <v>0.33333333333333331</v>
      </c>
      <c r="G9" s="19">
        <f t="shared" si="2"/>
        <v>0.33333333333333331</v>
      </c>
      <c r="I9" s="18">
        <f>'1.a Bottom-up Approach'!I12</f>
        <v>0.33333333333333331</v>
      </c>
      <c r="J9" s="18">
        <f>'1.a Bottom-up Approach'!J12</f>
        <v>0.33333333333333331</v>
      </c>
      <c r="K9" s="18">
        <f>'1.a Bottom-up Approach'!K12</f>
        <v>0.33333333333333331</v>
      </c>
      <c r="L9" s="18">
        <f>'1.a Bottom-up Approach'!L12</f>
        <v>0.33333333333333331</v>
      </c>
      <c r="M9" s="18">
        <f>'1.a Bottom-up Approach'!M12</f>
        <v>0.33333333333333331</v>
      </c>
      <c r="O9" s="19"/>
    </row>
    <row r="10" spans="2:16" ht="12.75" thickBot="1" x14ac:dyDescent="0.25">
      <c r="B10" s="6" t="s">
        <v>18</v>
      </c>
      <c r="C10" s="13">
        <f>'1.a Bottom-up Approach'!C13</f>
        <v>225000</v>
      </c>
      <c r="D10" s="13">
        <f>'1.a Bottom-up Approach'!D13</f>
        <v>375000</v>
      </c>
      <c r="E10" s="13">
        <f>'1.a Bottom-up Approach'!E13</f>
        <v>450000</v>
      </c>
      <c r="F10" s="13">
        <f>'1.a Bottom-up Approach'!F13</f>
        <v>105000</v>
      </c>
      <c r="G10" s="13">
        <f>SUM(C10:F10)</f>
        <v>1155000</v>
      </c>
      <c r="I10" s="31">
        <v>251600</v>
      </c>
      <c r="J10" s="31">
        <v>420000</v>
      </c>
      <c r="K10" s="31">
        <v>539000</v>
      </c>
      <c r="L10" s="31">
        <v>120199.99999999999</v>
      </c>
      <c r="M10" s="13">
        <f>SUM(I10:L10)</f>
        <v>1330800</v>
      </c>
      <c r="O10" s="22">
        <f>M10/G10-1</f>
        <v>0.15220779220779224</v>
      </c>
      <c r="P10" s="1" t="s">
        <v>34</v>
      </c>
    </row>
    <row r="11" spans="2:16" x14ac:dyDescent="0.2">
      <c r="B11" s="9"/>
    </row>
    <row r="12" spans="2:16" x14ac:dyDescent="0.2">
      <c r="B12" s="9" t="s">
        <v>17</v>
      </c>
      <c r="C12" s="1">
        <v>2022</v>
      </c>
      <c r="D12" s="1">
        <v>2022</v>
      </c>
      <c r="E12" s="1">
        <v>2022</v>
      </c>
      <c r="F12" s="1">
        <v>2022</v>
      </c>
      <c r="G12" s="1">
        <v>2022</v>
      </c>
      <c r="I12" s="1">
        <v>2023</v>
      </c>
      <c r="J12" s="1">
        <v>2023</v>
      </c>
      <c r="K12" s="1">
        <v>2023</v>
      </c>
      <c r="L12" s="1">
        <v>2023</v>
      </c>
      <c r="M12" s="1">
        <v>2023</v>
      </c>
      <c r="O12" s="1">
        <v>2022</v>
      </c>
    </row>
    <row r="13" spans="2:16" ht="12.75" thickBot="1" x14ac:dyDescent="0.25">
      <c r="B13" s="11" t="s">
        <v>12</v>
      </c>
      <c r="C13" s="10" t="s">
        <v>13</v>
      </c>
      <c r="D13" s="10" t="s">
        <v>14</v>
      </c>
      <c r="E13" s="10" t="s">
        <v>15</v>
      </c>
      <c r="F13" s="10" t="s">
        <v>16</v>
      </c>
      <c r="G13" s="10" t="s">
        <v>22</v>
      </c>
      <c r="I13" s="10" t="s">
        <v>13</v>
      </c>
      <c r="J13" s="10" t="s">
        <v>14</v>
      </c>
      <c r="K13" s="10" t="s">
        <v>15</v>
      </c>
      <c r="L13" s="10" t="s">
        <v>16</v>
      </c>
      <c r="M13" s="10" t="s">
        <v>23</v>
      </c>
      <c r="O13" s="10"/>
    </row>
    <row r="14" spans="2:16" x14ac:dyDescent="0.2">
      <c r="B14" s="5" t="s">
        <v>9</v>
      </c>
      <c r="C14" s="15">
        <f>'1.a Bottom-up Approach'!C17</f>
        <v>20</v>
      </c>
      <c r="D14" s="15">
        <f>'1.a Bottom-up Approach'!D17</f>
        <v>20</v>
      </c>
      <c r="E14" s="15">
        <f>'1.a Bottom-up Approach'!E17</f>
        <v>20</v>
      </c>
      <c r="F14" s="15">
        <f>'1.a Bottom-up Approach'!F17</f>
        <v>20</v>
      </c>
      <c r="G14" s="15">
        <f>'1.a Bottom-up Approach'!G17</f>
        <v>20</v>
      </c>
      <c r="I14" s="5">
        <f>'1.a Bottom-up Approach'!I17</f>
        <v>20</v>
      </c>
      <c r="J14" s="5">
        <f>'1.a Bottom-up Approach'!J17</f>
        <v>20</v>
      </c>
      <c r="K14" s="5">
        <f>'1.a Bottom-up Approach'!K17</f>
        <v>20</v>
      </c>
      <c r="L14" s="5">
        <f>'1.a Bottom-up Approach'!L17</f>
        <v>20</v>
      </c>
      <c r="M14" s="5">
        <f>'1.a Bottom-up Approach'!M17</f>
        <v>20</v>
      </c>
      <c r="O14" s="23">
        <v>0</v>
      </c>
    </row>
    <row r="15" spans="2:16" x14ac:dyDescent="0.2">
      <c r="B15" s="5" t="s">
        <v>10</v>
      </c>
      <c r="C15" s="15">
        <f>'1.a Bottom-up Approach'!C18</f>
        <v>15</v>
      </c>
      <c r="D15" s="15">
        <f>'1.a Bottom-up Approach'!D18</f>
        <v>15</v>
      </c>
      <c r="E15" s="15">
        <f>'1.a Bottom-up Approach'!E18</f>
        <v>15</v>
      </c>
      <c r="F15" s="15">
        <f>'1.a Bottom-up Approach'!F18</f>
        <v>15</v>
      </c>
      <c r="G15" s="15">
        <f>'1.a Bottom-up Approach'!G18</f>
        <v>15</v>
      </c>
      <c r="I15" s="5">
        <f>'1.a Bottom-up Approach'!I18</f>
        <v>16.5</v>
      </c>
      <c r="J15" s="5">
        <f>'1.a Bottom-up Approach'!J18</f>
        <v>16.5</v>
      </c>
      <c r="K15" s="5">
        <f>'1.a Bottom-up Approach'!K18</f>
        <v>16.5</v>
      </c>
      <c r="L15" s="5">
        <f>'1.a Bottom-up Approach'!L18</f>
        <v>16.5</v>
      </c>
      <c r="M15" s="5">
        <f>'1.a Bottom-up Approach'!M18</f>
        <v>16.5</v>
      </c>
      <c r="O15" s="23">
        <v>0.1</v>
      </c>
    </row>
    <row r="16" spans="2:16" x14ac:dyDescent="0.2">
      <c r="B16" s="5"/>
    </row>
    <row r="17" spans="2:15" x14ac:dyDescent="0.2">
      <c r="B17" s="1" t="s">
        <v>4</v>
      </c>
      <c r="C17" s="1">
        <v>2022</v>
      </c>
      <c r="D17" s="1">
        <v>2022</v>
      </c>
      <c r="E17" s="1">
        <v>2022</v>
      </c>
      <c r="F17" s="1">
        <v>2022</v>
      </c>
      <c r="G17" s="1">
        <v>2022</v>
      </c>
      <c r="I17" s="1">
        <v>2022</v>
      </c>
      <c r="J17" s="1">
        <v>2022</v>
      </c>
      <c r="K17" s="1">
        <v>2022</v>
      </c>
      <c r="L17" s="1">
        <v>2022</v>
      </c>
      <c r="M17" s="1">
        <v>2022</v>
      </c>
      <c r="O17" s="1">
        <v>2023</v>
      </c>
    </row>
    <row r="18" spans="2:15" ht="12.75" thickBot="1" x14ac:dyDescent="0.25">
      <c r="B18" s="4" t="s">
        <v>12</v>
      </c>
      <c r="C18" s="10" t="s">
        <v>13</v>
      </c>
      <c r="D18" s="10" t="s">
        <v>14</v>
      </c>
      <c r="E18" s="10" t="s">
        <v>15</v>
      </c>
      <c r="F18" s="10" t="s">
        <v>16</v>
      </c>
      <c r="G18" s="10"/>
      <c r="I18" s="10" t="s">
        <v>13</v>
      </c>
      <c r="J18" s="10" t="s">
        <v>14</v>
      </c>
      <c r="K18" s="10" t="s">
        <v>15</v>
      </c>
      <c r="L18" s="10" t="s">
        <v>16</v>
      </c>
      <c r="M18" s="10"/>
      <c r="O18" s="10"/>
    </row>
    <row r="19" spans="2:15" x14ac:dyDescent="0.2">
      <c r="B19" s="5" t="s">
        <v>9</v>
      </c>
      <c r="C19" s="20">
        <f>C5*C14</f>
        <v>3000000</v>
      </c>
      <c r="D19" s="20">
        <f t="shared" ref="D19:F19" si="3">D5*D14</f>
        <v>5000000</v>
      </c>
      <c r="E19" s="20">
        <f t="shared" si="3"/>
        <v>6000000</v>
      </c>
      <c r="F19" s="20">
        <f t="shared" si="3"/>
        <v>1400000</v>
      </c>
      <c r="G19" s="21">
        <f>SUM(C19:F19)</f>
        <v>15400000</v>
      </c>
      <c r="I19" s="20">
        <f>I5*I14</f>
        <v>3354666.666666666</v>
      </c>
      <c r="J19" s="20">
        <f t="shared" ref="J19:L19" si="4">J5*J14</f>
        <v>5600000</v>
      </c>
      <c r="K19" s="20">
        <f t="shared" si="4"/>
        <v>7186666.666666666</v>
      </c>
      <c r="L19" s="20">
        <f t="shared" si="4"/>
        <v>1602666.6666666663</v>
      </c>
      <c r="M19" s="21">
        <f>SUM(I19:L19)</f>
        <v>17744000</v>
      </c>
      <c r="O19" s="21"/>
    </row>
    <row r="20" spans="2:15" x14ac:dyDescent="0.2">
      <c r="B20" s="5" t="s">
        <v>10</v>
      </c>
      <c r="C20" s="20">
        <f t="shared" ref="C20:F20" si="5">C6*C15</f>
        <v>1125000</v>
      </c>
      <c r="D20" s="20">
        <f t="shared" si="5"/>
        <v>1875000</v>
      </c>
      <c r="E20" s="20">
        <f t="shared" si="5"/>
        <v>2250000</v>
      </c>
      <c r="F20" s="20">
        <f t="shared" si="5"/>
        <v>525000</v>
      </c>
      <c r="G20" s="21">
        <f>SUM(C20:F20)</f>
        <v>5775000</v>
      </c>
      <c r="I20" s="20">
        <f>I6*I15</f>
        <v>1383799.9999999998</v>
      </c>
      <c r="J20" s="20">
        <f t="shared" ref="J20:L20" si="6">J6*J15</f>
        <v>2310000</v>
      </c>
      <c r="K20" s="20">
        <f t="shared" si="6"/>
        <v>2964500</v>
      </c>
      <c r="L20" s="20">
        <f t="shared" si="6"/>
        <v>661099.99999999988</v>
      </c>
      <c r="M20" s="21">
        <f>SUM(I20:L20)</f>
        <v>7319400</v>
      </c>
      <c r="O20" s="21"/>
    </row>
    <row r="21" spans="2:15" ht="12.75" thickBot="1" x14ac:dyDescent="0.25">
      <c r="B21" s="6" t="s">
        <v>19</v>
      </c>
      <c r="C21" s="13">
        <f>SUM(C19:C20)</f>
        <v>4125000</v>
      </c>
      <c r="D21" s="13">
        <f t="shared" ref="D21:F21" si="7">SUM(D19:D20)</f>
        <v>6875000</v>
      </c>
      <c r="E21" s="13">
        <f t="shared" si="7"/>
        <v>8250000</v>
      </c>
      <c r="F21" s="13">
        <f t="shared" si="7"/>
        <v>1925000</v>
      </c>
      <c r="G21" s="13">
        <f>SUM(G19:G20)</f>
        <v>21175000</v>
      </c>
      <c r="I21" s="13">
        <f>SUM(I19:I20)</f>
        <v>4738466.666666666</v>
      </c>
      <c r="J21" s="13">
        <f t="shared" ref="J21:L21" si="8">SUM(J19:J20)</f>
        <v>7910000</v>
      </c>
      <c r="K21" s="13">
        <f t="shared" si="8"/>
        <v>10151166.666666666</v>
      </c>
      <c r="L21" s="13">
        <f t="shared" si="8"/>
        <v>2263766.666666666</v>
      </c>
      <c r="M21" s="13">
        <f>SUM(I21:L21)</f>
        <v>25063400</v>
      </c>
      <c r="O21" s="29">
        <f>M21/G21-1</f>
        <v>0.18363164108618646</v>
      </c>
    </row>
    <row r="22" spans="2:15" x14ac:dyDescent="0.2">
      <c r="M22" s="12"/>
    </row>
    <row r="23" spans="2:15" x14ac:dyDescent="0.2">
      <c r="B23" s="1" t="s">
        <v>28</v>
      </c>
    </row>
    <row r="24" spans="2:15" x14ac:dyDescent="0.2">
      <c r="B24" s="5" t="s">
        <v>29</v>
      </c>
      <c r="C24" s="26">
        <f>'1.a Bottom-up Approach'!O24</f>
        <v>0.1549480519480515</v>
      </c>
    </row>
    <row r="25" spans="2:15" x14ac:dyDescent="0.2">
      <c r="B25" s="25" t="s">
        <v>30</v>
      </c>
      <c r="C25" s="27">
        <f>'1.b Top-down Approach'!O7</f>
        <v>0.21266666666666656</v>
      </c>
    </row>
    <row r="26" spans="2:15" x14ac:dyDescent="0.2">
      <c r="B26" s="1" t="s">
        <v>31</v>
      </c>
      <c r="C26" s="28">
        <f>AVERAGE(C24:C25)</f>
        <v>0.18380735930735903</v>
      </c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929EA46-5211-4BB6-AC02-15C724E3BB7D}">
  <sheetPr codeName="Sheet26">
    <tabColor rgb="FF002060"/>
  </sheetPr>
  <dimension ref="B1:P26"/>
  <sheetViews>
    <sheetView showGridLines="0" tabSelected="1" workbookViewId="0">
      <selection activeCell="P18" sqref="P18"/>
    </sheetView>
  </sheetViews>
  <sheetFormatPr defaultRowHeight="12" x14ac:dyDescent="0.2"/>
  <cols>
    <col min="1" max="1" width="2.28515625" style="3" customWidth="1"/>
    <col min="2" max="2" width="19.140625" style="3" customWidth="1"/>
    <col min="3" max="3" width="13.5703125" style="3" bestFit="1" customWidth="1"/>
    <col min="4" max="7" width="11" style="3" bestFit="1" customWidth="1"/>
    <col min="8" max="8" width="2.28515625" style="3" customWidth="1"/>
    <col min="9" max="13" width="11" style="3" bestFit="1" customWidth="1"/>
    <col min="14" max="14" width="2.28515625" style="3" customWidth="1"/>
    <col min="15" max="15" width="11" style="3" bestFit="1" customWidth="1"/>
    <col min="16" max="16384" width="9.140625" style="3"/>
  </cols>
  <sheetData>
    <row r="1" spans="2:16" s="7" customFormat="1" ht="15.75" x14ac:dyDescent="0.25">
      <c r="B1" s="8" t="s">
        <v>6</v>
      </c>
    </row>
    <row r="3" spans="2:16" x14ac:dyDescent="0.2">
      <c r="B3" s="1" t="s">
        <v>2</v>
      </c>
      <c r="C3" s="1">
        <v>2022</v>
      </c>
      <c r="D3" s="1">
        <v>2022</v>
      </c>
      <c r="E3" s="1">
        <v>2022</v>
      </c>
      <c r="F3" s="1">
        <v>2022</v>
      </c>
      <c r="G3" s="1">
        <v>2022</v>
      </c>
      <c r="I3" s="1">
        <v>2023</v>
      </c>
      <c r="J3" s="1">
        <v>2023</v>
      </c>
      <c r="K3" s="1">
        <v>2023</v>
      </c>
      <c r="L3" s="1">
        <v>2023</v>
      </c>
      <c r="M3" s="1">
        <v>2023</v>
      </c>
      <c r="O3" s="1">
        <v>2023</v>
      </c>
    </row>
    <row r="4" spans="2:16" ht="12.75" thickBot="1" x14ac:dyDescent="0.25">
      <c r="B4" s="4" t="s">
        <v>11</v>
      </c>
      <c r="C4" s="10" t="s">
        <v>13</v>
      </c>
      <c r="D4" s="10" t="s">
        <v>14</v>
      </c>
      <c r="E4" s="10" t="s">
        <v>15</v>
      </c>
      <c r="F4" s="10" t="s">
        <v>16</v>
      </c>
      <c r="G4" s="10" t="s">
        <v>22</v>
      </c>
      <c r="I4" s="10" t="s">
        <v>13</v>
      </c>
      <c r="J4" s="10" t="s">
        <v>14</v>
      </c>
      <c r="K4" s="10" t="s">
        <v>15</v>
      </c>
      <c r="L4" s="10" t="s">
        <v>16</v>
      </c>
      <c r="M4" s="10" t="s">
        <v>23</v>
      </c>
      <c r="O4" s="11" t="s">
        <v>24</v>
      </c>
    </row>
    <row r="5" spans="2:16" x14ac:dyDescent="0.2">
      <c r="B5" s="5" t="s">
        <v>7</v>
      </c>
      <c r="C5" s="15">
        <v>160000</v>
      </c>
      <c r="D5" s="15">
        <v>275000</v>
      </c>
      <c r="E5" s="15">
        <v>350000</v>
      </c>
      <c r="F5" s="15">
        <v>100000</v>
      </c>
      <c r="G5" s="16">
        <f>SUM(C5:F5)</f>
        <v>885000</v>
      </c>
      <c r="I5" s="15">
        <f>C5*(1+$O$5)</f>
        <v>184000</v>
      </c>
      <c r="J5" s="15">
        <f t="shared" ref="J5:L5" si="0">D5*(1+$O$5)</f>
        <v>316250</v>
      </c>
      <c r="K5" s="15">
        <f t="shared" si="0"/>
        <v>402499.99999999994</v>
      </c>
      <c r="L5" s="15">
        <f t="shared" si="0"/>
        <v>114999.99999999999</v>
      </c>
      <c r="M5" s="16">
        <f>SUM(I5:L5)</f>
        <v>1017750</v>
      </c>
      <c r="O5" s="19">
        <v>0.15</v>
      </c>
      <c r="P5" s="1" t="s">
        <v>32</v>
      </c>
    </row>
    <row r="6" spans="2:16" x14ac:dyDescent="0.2">
      <c r="B6" s="5" t="s">
        <v>8</v>
      </c>
      <c r="C6" s="15">
        <v>65000</v>
      </c>
      <c r="D6" s="15">
        <v>100000</v>
      </c>
      <c r="E6" s="15">
        <v>100000</v>
      </c>
      <c r="F6" s="15">
        <v>5000</v>
      </c>
      <c r="G6" s="16">
        <f>SUM(C6:F6)</f>
        <v>270000</v>
      </c>
      <c r="I6" s="15">
        <f>C6*(1+$O$6)</f>
        <v>67600</v>
      </c>
      <c r="J6" s="15">
        <f t="shared" ref="J6:L6" si="1">D6*(1+$O$6)</f>
        <v>104000</v>
      </c>
      <c r="K6" s="15">
        <f t="shared" si="1"/>
        <v>104000</v>
      </c>
      <c r="L6" s="15">
        <f t="shared" si="1"/>
        <v>5200</v>
      </c>
      <c r="M6" s="16">
        <f>SUM(I6:L6)</f>
        <v>280800</v>
      </c>
      <c r="O6" s="19">
        <v>0.04</v>
      </c>
      <c r="P6" s="1" t="s">
        <v>32</v>
      </c>
    </row>
    <row r="7" spans="2:16" x14ac:dyDescent="0.2">
      <c r="B7" s="9"/>
      <c r="C7" s="17"/>
      <c r="D7" s="17"/>
      <c r="E7" s="17"/>
      <c r="F7" s="17"/>
      <c r="G7" s="17"/>
      <c r="I7" s="17"/>
      <c r="J7" s="17"/>
      <c r="K7" s="17"/>
      <c r="L7" s="17"/>
      <c r="M7" s="17"/>
      <c r="O7" s="17"/>
    </row>
    <row r="8" spans="2:16" x14ac:dyDescent="0.2">
      <c r="B8" s="5" t="s">
        <v>9</v>
      </c>
      <c r="C8" s="15">
        <v>150000</v>
      </c>
      <c r="D8" s="15">
        <v>250000</v>
      </c>
      <c r="E8" s="15">
        <v>300000</v>
      </c>
      <c r="F8" s="15">
        <v>70000</v>
      </c>
      <c r="G8" s="16">
        <f>SUM(C8:F8)</f>
        <v>770000</v>
      </c>
      <c r="I8" s="15">
        <f>I$13*I$11</f>
        <v>167733.33333333331</v>
      </c>
      <c r="J8" s="15">
        <f t="shared" ref="J8:L8" si="2">J$13*J$11</f>
        <v>280166.66666666663</v>
      </c>
      <c r="K8" s="15">
        <f t="shared" si="2"/>
        <v>337666.66666666663</v>
      </c>
      <c r="L8" s="15">
        <f t="shared" si="2"/>
        <v>80133.333333333314</v>
      </c>
      <c r="M8" s="16">
        <f>SUM(I8:L8)</f>
        <v>865699.99999999977</v>
      </c>
      <c r="N8" s="12"/>
      <c r="O8" s="16"/>
    </row>
    <row r="9" spans="2:16" x14ac:dyDescent="0.2">
      <c r="B9" s="5" t="s">
        <v>10</v>
      </c>
      <c r="C9" s="15">
        <v>75000</v>
      </c>
      <c r="D9" s="15">
        <v>125000</v>
      </c>
      <c r="E9" s="15">
        <v>150000</v>
      </c>
      <c r="F9" s="15">
        <v>35000</v>
      </c>
      <c r="G9" s="16">
        <f>SUM(C9:F9)</f>
        <v>385000</v>
      </c>
      <c r="I9" s="15">
        <f>I$13*I$12</f>
        <v>83866.666666666657</v>
      </c>
      <c r="J9" s="15">
        <f t="shared" ref="J9:L9" si="3">J$13*J$12</f>
        <v>140083.33333333331</v>
      </c>
      <c r="K9" s="15">
        <f t="shared" si="3"/>
        <v>168833.33333333331</v>
      </c>
      <c r="L9" s="15">
        <f t="shared" si="3"/>
        <v>40066.666666666657</v>
      </c>
      <c r="M9" s="16">
        <f>SUM(I9:L9)</f>
        <v>432849.99999999988</v>
      </c>
      <c r="O9" s="16"/>
    </row>
    <row r="10" spans="2:16" x14ac:dyDescent="0.2">
      <c r="B10" s="5"/>
      <c r="C10" s="5"/>
      <c r="D10" s="5"/>
      <c r="E10" s="5"/>
      <c r="F10" s="5"/>
      <c r="G10" s="2"/>
      <c r="I10" s="5"/>
      <c r="J10" s="5"/>
      <c r="K10" s="5"/>
      <c r="L10" s="5"/>
      <c r="M10" s="2"/>
      <c r="O10" s="2"/>
    </row>
    <row r="11" spans="2:16" x14ac:dyDescent="0.2">
      <c r="B11" s="5" t="s">
        <v>20</v>
      </c>
      <c r="C11" s="18">
        <f>C8/C$13</f>
        <v>0.66666666666666663</v>
      </c>
      <c r="D11" s="18">
        <f t="shared" ref="D11:F11" si="4">D8/D$13</f>
        <v>0.66666666666666663</v>
      </c>
      <c r="E11" s="18">
        <f t="shared" si="4"/>
        <v>0.66666666666666663</v>
      </c>
      <c r="F11" s="18">
        <f t="shared" si="4"/>
        <v>0.66666666666666663</v>
      </c>
      <c r="G11" s="19">
        <f t="shared" ref="G11" si="5">G8/G$13</f>
        <v>0.66666666666666663</v>
      </c>
      <c r="I11" s="18">
        <f>G11</f>
        <v>0.66666666666666663</v>
      </c>
      <c r="J11" s="18">
        <f>I11</f>
        <v>0.66666666666666663</v>
      </c>
      <c r="K11" s="18">
        <f t="shared" ref="K11:L11" si="6">J11</f>
        <v>0.66666666666666663</v>
      </c>
      <c r="L11" s="18">
        <f t="shared" si="6"/>
        <v>0.66666666666666663</v>
      </c>
      <c r="M11" s="19">
        <f>L11</f>
        <v>0.66666666666666663</v>
      </c>
      <c r="O11" s="19"/>
      <c r="P11" s="1" t="s">
        <v>35</v>
      </c>
    </row>
    <row r="12" spans="2:16" x14ac:dyDescent="0.2">
      <c r="B12" s="5" t="s">
        <v>21</v>
      </c>
      <c r="C12" s="18">
        <f>C9/C$13</f>
        <v>0.33333333333333331</v>
      </c>
      <c r="D12" s="18">
        <f t="shared" ref="D12:F12" si="7">D9/D$13</f>
        <v>0.33333333333333331</v>
      </c>
      <c r="E12" s="18">
        <f t="shared" si="7"/>
        <v>0.33333333333333331</v>
      </c>
      <c r="F12" s="18">
        <f t="shared" si="7"/>
        <v>0.33333333333333331</v>
      </c>
      <c r="G12" s="19">
        <f t="shared" ref="G12" si="8">G9/G$13</f>
        <v>0.33333333333333331</v>
      </c>
      <c r="I12" s="18">
        <f>G12</f>
        <v>0.33333333333333331</v>
      </c>
      <c r="J12" s="18">
        <f>I12</f>
        <v>0.33333333333333331</v>
      </c>
      <c r="K12" s="18">
        <f t="shared" ref="K12:L12" si="9">J12</f>
        <v>0.33333333333333331</v>
      </c>
      <c r="L12" s="18">
        <f t="shared" si="9"/>
        <v>0.33333333333333331</v>
      </c>
      <c r="M12" s="19">
        <f>L12</f>
        <v>0.33333333333333331</v>
      </c>
      <c r="O12" s="19"/>
    </row>
    <row r="13" spans="2:16" ht="12.75" thickBot="1" x14ac:dyDescent="0.25">
      <c r="B13" s="6" t="s">
        <v>18</v>
      </c>
      <c r="C13" s="13">
        <f>SUM(C5:C6)</f>
        <v>225000</v>
      </c>
      <c r="D13" s="13">
        <f t="shared" ref="D13:F13" si="10">SUM(D5:D6)</f>
        <v>375000</v>
      </c>
      <c r="E13" s="13">
        <f t="shared" si="10"/>
        <v>450000</v>
      </c>
      <c r="F13" s="13">
        <f t="shared" si="10"/>
        <v>105000</v>
      </c>
      <c r="G13" s="13">
        <f>SUM(C13:F13)</f>
        <v>1155000</v>
      </c>
      <c r="I13" s="13">
        <f>SUM(I5:I6)</f>
        <v>251600</v>
      </c>
      <c r="J13" s="13">
        <f t="shared" ref="J13:L13" si="11">SUM(J5:J6)</f>
        <v>420250</v>
      </c>
      <c r="K13" s="13">
        <f t="shared" si="11"/>
        <v>506499.99999999994</v>
      </c>
      <c r="L13" s="13">
        <f t="shared" si="11"/>
        <v>120199.99999999999</v>
      </c>
      <c r="M13" s="13">
        <f>SUM(I13:L13)</f>
        <v>1298550</v>
      </c>
      <c r="O13" s="22">
        <f>M13/G13-1</f>
        <v>0.12428571428571433</v>
      </c>
    </row>
    <row r="14" spans="2:16" x14ac:dyDescent="0.2">
      <c r="B14" s="9"/>
    </row>
    <row r="15" spans="2:16" x14ac:dyDescent="0.2">
      <c r="B15" s="9" t="s">
        <v>17</v>
      </c>
      <c r="C15" s="1">
        <v>2022</v>
      </c>
      <c r="D15" s="1">
        <v>2022</v>
      </c>
      <c r="E15" s="1">
        <v>2022</v>
      </c>
      <c r="F15" s="1">
        <v>2022</v>
      </c>
      <c r="G15" s="1">
        <v>2022</v>
      </c>
      <c r="I15" s="1">
        <v>2023</v>
      </c>
      <c r="J15" s="1">
        <v>2023</v>
      </c>
      <c r="K15" s="1">
        <v>2023</v>
      </c>
      <c r="L15" s="1">
        <v>2023</v>
      </c>
      <c r="M15" s="1">
        <v>2023</v>
      </c>
      <c r="O15" s="1">
        <v>2023</v>
      </c>
    </row>
    <row r="16" spans="2:16" ht="12.75" thickBot="1" x14ac:dyDescent="0.25">
      <c r="B16" s="11" t="s">
        <v>12</v>
      </c>
      <c r="C16" s="10" t="s">
        <v>13</v>
      </c>
      <c r="D16" s="10" t="s">
        <v>14</v>
      </c>
      <c r="E16" s="10" t="s">
        <v>15</v>
      </c>
      <c r="F16" s="10" t="s">
        <v>16</v>
      </c>
      <c r="G16" s="10" t="s">
        <v>22</v>
      </c>
      <c r="I16" s="10" t="s">
        <v>13</v>
      </c>
      <c r="J16" s="10" t="s">
        <v>14</v>
      </c>
      <c r="K16" s="10" t="s">
        <v>15</v>
      </c>
      <c r="L16" s="10" t="s">
        <v>16</v>
      </c>
      <c r="M16" s="10" t="s">
        <v>23</v>
      </c>
      <c r="O16" s="10"/>
    </row>
    <row r="17" spans="2:16" x14ac:dyDescent="0.2">
      <c r="B17" s="5" t="s">
        <v>9</v>
      </c>
      <c r="C17" s="5">
        <v>20</v>
      </c>
      <c r="D17" s="5">
        <v>20</v>
      </c>
      <c r="E17" s="5">
        <v>20</v>
      </c>
      <c r="F17" s="5">
        <v>20</v>
      </c>
      <c r="G17" s="5">
        <v>20</v>
      </c>
      <c r="I17" s="5">
        <f>G17*(1+$O$17)</f>
        <v>20</v>
      </c>
      <c r="J17" s="5">
        <v>20</v>
      </c>
      <c r="K17" s="5">
        <v>20</v>
      </c>
      <c r="L17" s="5">
        <v>20</v>
      </c>
      <c r="M17" s="5">
        <f>M22/M8</f>
        <v>20</v>
      </c>
      <c r="O17" s="23">
        <v>0</v>
      </c>
    </row>
    <row r="18" spans="2:16" x14ac:dyDescent="0.2">
      <c r="B18" s="5" t="s">
        <v>10</v>
      </c>
      <c r="C18" s="5">
        <v>15</v>
      </c>
      <c r="D18" s="5">
        <v>15</v>
      </c>
      <c r="E18" s="5">
        <v>15</v>
      </c>
      <c r="F18" s="5">
        <v>15</v>
      </c>
      <c r="G18" s="5">
        <v>15</v>
      </c>
      <c r="I18" s="5">
        <f>G18*(1+$O$18)</f>
        <v>16.5</v>
      </c>
      <c r="J18" s="5">
        <f>I18</f>
        <v>16.5</v>
      </c>
      <c r="K18" s="5">
        <f t="shared" ref="K18:L18" si="12">J18</f>
        <v>16.5</v>
      </c>
      <c r="L18" s="5">
        <f t="shared" si="12"/>
        <v>16.5</v>
      </c>
      <c r="M18" s="5">
        <f>M23/M9</f>
        <v>16.5</v>
      </c>
      <c r="O18" s="23">
        <v>0.1</v>
      </c>
      <c r="P18" s="1" t="s">
        <v>36</v>
      </c>
    </row>
    <row r="19" spans="2:16" x14ac:dyDescent="0.2">
      <c r="B19" s="5"/>
    </row>
    <row r="20" spans="2:16" x14ac:dyDescent="0.2">
      <c r="B20" s="1" t="s">
        <v>4</v>
      </c>
      <c r="C20" s="1">
        <v>2022</v>
      </c>
      <c r="D20" s="1">
        <v>2022</v>
      </c>
      <c r="E20" s="1">
        <v>2022</v>
      </c>
      <c r="F20" s="1">
        <v>2022</v>
      </c>
      <c r="G20" s="1">
        <v>2022</v>
      </c>
      <c r="I20" s="1">
        <v>2022</v>
      </c>
      <c r="J20" s="1">
        <v>2022</v>
      </c>
      <c r="K20" s="1">
        <v>2022</v>
      </c>
      <c r="L20" s="1">
        <v>2022</v>
      </c>
      <c r="M20" s="1">
        <v>2022</v>
      </c>
      <c r="O20" s="1">
        <v>2023</v>
      </c>
    </row>
    <row r="21" spans="2:16" ht="12.75" thickBot="1" x14ac:dyDescent="0.25">
      <c r="B21" s="4" t="s">
        <v>12</v>
      </c>
      <c r="C21" s="10" t="s">
        <v>13</v>
      </c>
      <c r="D21" s="10" t="s">
        <v>14</v>
      </c>
      <c r="E21" s="10" t="s">
        <v>15</v>
      </c>
      <c r="F21" s="10" t="s">
        <v>16</v>
      </c>
      <c r="G21" s="10"/>
      <c r="I21" s="10" t="s">
        <v>13</v>
      </c>
      <c r="J21" s="10" t="s">
        <v>14</v>
      </c>
      <c r="K21" s="10" t="s">
        <v>15</v>
      </c>
      <c r="L21" s="10" t="s">
        <v>16</v>
      </c>
      <c r="M21" s="10"/>
      <c r="O21" s="10"/>
    </row>
    <row r="22" spans="2:16" x14ac:dyDescent="0.2">
      <c r="B22" s="5" t="s">
        <v>9</v>
      </c>
      <c r="C22" s="20">
        <f>C8*C17</f>
        <v>3000000</v>
      </c>
      <c r="D22" s="20">
        <f t="shared" ref="D22:F22" si="13">D8*D17</f>
        <v>5000000</v>
      </c>
      <c r="E22" s="20">
        <f t="shared" si="13"/>
        <v>6000000</v>
      </c>
      <c r="F22" s="20">
        <f t="shared" si="13"/>
        <v>1400000</v>
      </c>
      <c r="G22" s="21">
        <f>SUM(C22:F22)</f>
        <v>15400000</v>
      </c>
      <c r="I22" s="20">
        <f>I8*I17</f>
        <v>3354666.666666666</v>
      </c>
      <c r="J22" s="20">
        <f t="shared" ref="J22:L22" si="14">J8*J17</f>
        <v>5603333.3333333321</v>
      </c>
      <c r="K22" s="20">
        <f t="shared" si="14"/>
        <v>6753333.3333333321</v>
      </c>
      <c r="L22" s="20">
        <f t="shared" si="14"/>
        <v>1602666.6666666663</v>
      </c>
      <c r="M22" s="21">
        <f>SUM(I22:L22)</f>
        <v>17313999.999999996</v>
      </c>
      <c r="O22" s="21"/>
    </row>
    <row r="23" spans="2:16" x14ac:dyDescent="0.2">
      <c r="B23" s="5" t="s">
        <v>10</v>
      </c>
      <c r="C23" s="20">
        <f t="shared" ref="C23:F23" si="15">C9*C18</f>
        <v>1125000</v>
      </c>
      <c r="D23" s="20">
        <f t="shared" si="15"/>
        <v>1875000</v>
      </c>
      <c r="E23" s="20">
        <f t="shared" si="15"/>
        <v>2250000</v>
      </c>
      <c r="F23" s="20">
        <f t="shared" si="15"/>
        <v>525000</v>
      </c>
      <c r="G23" s="21">
        <f>SUM(C23:F23)</f>
        <v>5775000</v>
      </c>
      <c r="I23" s="20">
        <f t="shared" ref="I23:L23" si="16">I9*I18</f>
        <v>1383799.9999999998</v>
      </c>
      <c r="J23" s="20">
        <f t="shared" si="16"/>
        <v>2311374.9999999995</v>
      </c>
      <c r="K23" s="20">
        <f t="shared" si="16"/>
        <v>2785749.9999999995</v>
      </c>
      <c r="L23" s="20">
        <f t="shared" si="16"/>
        <v>661099.99999999988</v>
      </c>
      <c r="M23" s="21">
        <f>SUM(I23:L23)</f>
        <v>7142024.9999999981</v>
      </c>
      <c r="O23" s="21"/>
    </row>
    <row r="24" spans="2:16" ht="12.75" thickBot="1" x14ac:dyDescent="0.25">
      <c r="B24" s="6" t="s">
        <v>19</v>
      </c>
      <c r="C24" s="13">
        <f>SUM(C22:C23)</f>
        <v>4125000</v>
      </c>
      <c r="D24" s="13">
        <f t="shared" ref="D24:F24" si="17">SUM(D22:D23)</f>
        <v>6875000</v>
      </c>
      <c r="E24" s="13">
        <f t="shared" si="17"/>
        <v>8250000</v>
      </c>
      <c r="F24" s="13">
        <f t="shared" si="17"/>
        <v>1925000</v>
      </c>
      <c r="G24" s="13">
        <f>SUM(G22:G23)</f>
        <v>21175000</v>
      </c>
      <c r="I24" s="13">
        <f>SUM(I22:I23)</f>
        <v>4738466.666666666</v>
      </c>
      <c r="J24" s="13">
        <f t="shared" ref="J24" si="18">SUM(J22:J23)</f>
        <v>7914708.3333333321</v>
      </c>
      <c r="K24" s="13">
        <f t="shared" ref="K24" si="19">SUM(K22:K23)</f>
        <v>9539083.3333333321</v>
      </c>
      <c r="L24" s="13">
        <f t="shared" ref="L24" si="20">SUM(L22:L23)</f>
        <v>2263766.666666666</v>
      </c>
      <c r="M24" s="13">
        <f>SUM(M22:M23)</f>
        <v>24456024.999999993</v>
      </c>
      <c r="O24" s="30">
        <f>M24/G24-1</f>
        <v>0.1549480519480515</v>
      </c>
    </row>
    <row r="26" spans="2:16" x14ac:dyDescent="0.2">
      <c r="C26" s="24"/>
      <c r="D26" s="24"/>
      <c r="E26" s="24"/>
      <c r="F26" s="24"/>
    </row>
  </sheetData>
  <phoneticPr fontId="8" type="noConversion"/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DBA01B3-4F7F-4FFA-8A03-654ECE8084A4}">
  <sheetPr codeName="Sheet27">
    <tabColor rgb="FF002060"/>
  </sheetPr>
  <dimension ref="B1:P7"/>
  <sheetViews>
    <sheetView showGridLines="0" workbookViewId="0">
      <selection activeCell="I46" sqref="I46"/>
    </sheetView>
  </sheetViews>
  <sheetFormatPr defaultRowHeight="12" x14ac:dyDescent="0.2"/>
  <cols>
    <col min="1" max="1" width="2.28515625" style="3" customWidth="1"/>
    <col min="2" max="2" width="19.140625" style="3" customWidth="1"/>
    <col min="3" max="6" width="12.42578125" style="3" bestFit="1" customWidth="1"/>
    <col min="7" max="7" width="12" style="3" bestFit="1" customWidth="1"/>
    <col min="8" max="8" width="2.28515625" style="3" customWidth="1"/>
    <col min="9" max="12" width="11" style="3" bestFit="1" customWidth="1"/>
    <col min="13" max="13" width="12" style="3" bestFit="1" customWidth="1"/>
    <col min="14" max="14" width="2.28515625" style="3" customWidth="1"/>
    <col min="15" max="16384" width="9.140625" style="3"/>
  </cols>
  <sheetData>
    <row r="1" spans="2:16" s="7" customFormat="1" ht="15.75" x14ac:dyDescent="0.25">
      <c r="B1" s="8" t="s">
        <v>1</v>
      </c>
    </row>
    <row r="3" spans="2:16" x14ac:dyDescent="0.2">
      <c r="B3" s="1" t="s">
        <v>2</v>
      </c>
      <c r="C3" s="1">
        <v>2022</v>
      </c>
      <c r="D3" s="1">
        <v>2022</v>
      </c>
      <c r="E3" s="1">
        <v>2022</v>
      </c>
      <c r="F3" s="1">
        <v>2022</v>
      </c>
      <c r="G3" s="1">
        <v>2022</v>
      </c>
      <c r="I3" s="1">
        <v>2023</v>
      </c>
      <c r="J3" s="1">
        <v>2023</v>
      </c>
      <c r="K3" s="1">
        <v>2023</v>
      </c>
      <c r="L3" s="1">
        <v>2023</v>
      </c>
      <c r="M3" s="1">
        <v>2023</v>
      </c>
      <c r="O3" s="1">
        <v>2023</v>
      </c>
    </row>
    <row r="4" spans="2:16" ht="12.75" thickBot="1" x14ac:dyDescent="0.25">
      <c r="B4" s="4" t="s">
        <v>12</v>
      </c>
      <c r="C4" s="10" t="s">
        <v>13</v>
      </c>
      <c r="D4" s="10" t="s">
        <v>14</v>
      </c>
      <c r="E4" s="10" t="s">
        <v>15</v>
      </c>
      <c r="F4" s="10" t="s">
        <v>16</v>
      </c>
      <c r="G4" s="10" t="s">
        <v>22</v>
      </c>
      <c r="I4" s="10" t="s">
        <v>13</v>
      </c>
      <c r="J4" s="10" t="s">
        <v>14</v>
      </c>
      <c r="K4" s="10" t="s">
        <v>15</v>
      </c>
      <c r="L4" s="10" t="s">
        <v>16</v>
      </c>
      <c r="M4" s="10" t="s">
        <v>23</v>
      </c>
      <c r="O4" s="11" t="s">
        <v>27</v>
      </c>
    </row>
    <row r="5" spans="2:16" x14ac:dyDescent="0.2">
      <c r="B5" s="5" t="s">
        <v>25</v>
      </c>
      <c r="C5" s="15">
        <v>27500000</v>
      </c>
      <c r="D5" s="15">
        <v>45833333.333333336</v>
      </c>
      <c r="E5" s="15">
        <v>55000000</v>
      </c>
      <c r="F5" s="15">
        <v>12833333.333333334</v>
      </c>
      <c r="G5" s="16">
        <f>SUM(C5:F5)</f>
        <v>141166666.66666669</v>
      </c>
      <c r="I5" s="15">
        <f>C5*(1+$O$5)</f>
        <v>29425000</v>
      </c>
      <c r="J5" s="15">
        <f t="shared" ref="J5:L5" si="0">D5*(1+$O$5)</f>
        <v>49041666.666666672</v>
      </c>
      <c r="K5" s="15">
        <f t="shared" si="0"/>
        <v>58850000</v>
      </c>
      <c r="L5" s="15">
        <f t="shared" si="0"/>
        <v>13731666.666666668</v>
      </c>
      <c r="M5" s="16">
        <f>SUM(I5:L5)</f>
        <v>151048333.33333334</v>
      </c>
      <c r="O5" s="19">
        <v>7.0000000000000007E-2</v>
      </c>
      <c r="P5" s="1" t="s">
        <v>33</v>
      </c>
    </row>
    <row r="6" spans="2:16" x14ac:dyDescent="0.2">
      <c r="B6" s="5" t="s">
        <v>26</v>
      </c>
      <c r="C6" s="18">
        <v>0.15</v>
      </c>
      <c r="D6" s="18">
        <v>0.15</v>
      </c>
      <c r="E6" s="18">
        <v>0.15</v>
      </c>
      <c r="F6" s="18">
        <v>0.15</v>
      </c>
      <c r="G6" s="19">
        <v>0.15</v>
      </c>
      <c r="I6" s="18">
        <v>0.17</v>
      </c>
      <c r="J6" s="18">
        <v>0.17</v>
      </c>
      <c r="K6" s="18">
        <v>0.17</v>
      </c>
      <c r="L6" s="18">
        <v>0.17</v>
      </c>
      <c r="M6" s="19">
        <v>0.17</v>
      </c>
      <c r="O6" s="19">
        <f>M6-G6</f>
        <v>2.0000000000000018E-2</v>
      </c>
      <c r="P6" s="1"/>
    </row>
    <row r="7" spans="2:16" ht="12.75" thickBot="1" x14ac:dyDescent="0.25">
      <c r="B7" s="6" t="s">
        <v>3</v>
      </c>
      <c r="C7" s="13">
        <f>C5*C6</f>
        <v>4125000</v>
      </c>
      <c r="D7" s="13">
        <f t="shared" ref="D7:F7" si="1">D5*D6</f>
        <v>6875000</v>
      </c>
      <c r="E7" s="13">
        <f t="shared" si="1"/>
        <v>8250000</v>
      </c>
      <c r="F7" s="13">
        <f t="shared" si="1"/>
        <v>1925000</v>
      </c>
      <c r="G7" s="13">
        <f>G5*G6</f>
        <v>21175000.000000004</v>
      </c>
      <c r="I7" s="13">
        <f>I5*I6</f>
        <v>5002250</v>
      </c>
      <c r="J7" s="13">
        <f t="shared" ref="J7:L7" si="2">J5*J6</f>
        <v>8337083.3333333349</v>
      </c>
      <c r="K7" s="13">
        <f t="shared" si="2"/>
        <v>10004500</v>
      </c>
      <c r="L7" s="13">
        <f t="shared" si="2"/>
        <v>2334383.3333333335</v>
      </c>
      <c r="M7" s="13">
        <f>SUM(I7:L7)</f>
        <v>25678216.666666668</v>
      </c>
      <c r="O7" s="14">
        <f>M7/G7-1</f>
        <v>0.21266666666666656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5</vt:i4>
      </vt:variant>
    </vt:vector>
  </HeadingPairs>
  <TitlesOfParts>
    <vt:vector size="5" baseType="lpstr">
      <vt:lpstr>Sheet1</vt:lpstr>
      <vt:lpstr>Operating Budget</vt:lpstr>
      <vt:lpstr>1. Sales &amp; Production Budget</vt:lpstr>
      <vt:lpstr>1.a Bottom-up Approach</vt:lpstr>
      <vt:lpstr>1.b Top-down Approach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Jason Lee</dc:creator>
  <cp:lastModifiedBy>Jason Lee</cp:lastModifiedBy>
  <dcterms:created xsi:type="dcterms:W3CDTF">2023-05-11T13:39:52Z</dcterms:created>
  <dcterms:modified xsi:type="dcterms:W3CDTF">2023-05-12T01:49:46Z</dcterms:modified>
</cp:coreProperties>
</file>