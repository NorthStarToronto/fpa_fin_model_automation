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pa_fin_model_automation\"/>
    </mc:Choice>
  </mc:AlternateContent>
  <xr:revisionPtr revIDLastSave="0" documentId="8_{40A03AF6-DD7B-40D1-9B2D-B40EA149A9C3}" xr6:coauthVersionLast="47" xr6:coauthVersionMax="47" xr10:uidLastSave="{00000000-0000-0000-0000-000000000000}"/>
  <bookViews>
    <workbookView xWindow="-120" yWindow="-120" windowWidth="29040" windowHeight="15720" activeTab="3" xr2:uid="{C40D34B2-41DA-4B0C-BCC2-D8C12AA06FEB}"/>
  </bookViews>
  <sheets>
    <sheet name="Static Budget" sheetId="3" r:id="rId1"/>
    <sheet name="3. Cost of Goods Sold Budget" sheetId="1" r:id="rId2"/>
    <sheet name="4. SG&amp;A Budget" sheetId="2" r:id="rId3"/>
    <sheet name="Flexible Budget" sheetId="4" r:id="rId4"/>
    <sheet name="Variance Analysis" sheetId="6" r:id="rId5"/>
  </sheets>
  <functionGroups builtInGroupCount="19"/>
  <externalReferences>
    <externalReference r:id="rId6"/>
  </externalReferences>
  <definedNames>
    <definedName name="_xlnm._FilterDatabase" localSheetId="1" hidden="1">'3. Cost of Goods Sold Budget'!$O$4:$O$12</definedName>
    <definedName name="_xlnm._FilterDatabase" localSheetId="2" hidden="1">'4. SG&amp;A Budget'!$O$4:$O$18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2" i="6" l="1"/>
  <c r="G61" i="6" s="1"/>
  <c r="H61" i="6" s="1"/>
  <c r="D62" i="6"/>
  <c r="C62" i="6"/>
  <c r="E59" i="6"/>
  <c r="D59" i="6"/>
  <c r="C59" i="6"/>
  <c r="E55" i="6"/>
  <c r="D55" i="6"/>
  <c r="C55" i="6"/>
  <c r="D50" i="6"/>
  <c r="D47" i="6"/>
  <c r="E47" i="6" s="1"/>
  <c r="D43" i="6"/>
  <c r="C50" i="6"/>
  <c r="C47" i="6"/>
  <c r="C43" i="6"/>
  <c r="E50" i="6"/>
  <c r="E43" i="6"/>
  <c r="G37" i="6"/>
  <c r="H37" i="6" s="1"/>
  <c r="H33" i="6"/>
  <c r="G33" i="6"/>
  <c r="E38" i="6"/>
  <c r="E35" i="6"/>
  <c r="E31" i="6"/>
  <c r="C38" i="6"/>
  <c r="D38" i="6"/>
  <c r="D35" i="6"/>
  <c r="C35" i="6"/>
  <c r="D31" i="6"/>
  <c r="C31" i="6"/>
  <c r="L25" i="6"/>
  <c r="L24" i="6"/>
  <c r="L23" i="6"/>
  <c r="L22" i="6"/>
  <c r="L26" i="6"/>
  <c r="J26" i="6"/>
  <c r="J22" i="6"/>
  <c r="E26" i="6"/>
  <c r="E25" i="6"/>
  <c r="C24" i="6"/>
  <c r="C23" i="6"/>
  <c r="C22" i="6"/>
  <c r="E22" i="6" s="1"/>
  <c r="J23" i="6"/>
  <c r="D24" i="6"/>
  <c r="E24" i="6" s="1"/>
  <c r="E23" i="6"/>
  <c r="E15" i="6"/>
  <c r="G14" i="6"/>
  <c r="D7" i="6"/>
  <c r="D16" i="6" s="1"/>
  <c r="E7" i="6"/>
  <c r="E17" i="6"/>
  <c r="D17" i="6"/>
  <c r="D8" i="6" s="1"/>
  <c r="E8" i="6" s="1"/>
  <c r="D15" i="6"/>
  <c r="E14" i="6"/>
  <c r="D14" i="6"/>
  <c r="E6" i="6"/>
  <c r="E5" i="6"/>
  <c r="C45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G22" i="4"/>
  <c r="F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22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F16" i="4"/>
  <c r="F15" i="4"/>
  <c r="F14" i="4"/>
  <c r="D11" i="4"/>
  <c r="F11" i="4" s="1"/>
  <c r="C17" i="4"/>
  <c r="G17" i="4" s="1"/>
  <c r="C16" i="4"/>
  <c r="G16" i="4" s="1"/>
  <c r="C15" i="4"/>
  <c r="G15" i="4" s="1"/>
  <c r="C14" i="4"/>
  <c r="C18" i="4" s="1"/>
  <c r="C11" i="4"/>
  <c r="I17" i="2"/>
  <c r="G17" i="2"/>
  <c r="L14" i="2"/>
  <c r="K14" i="2"/>
  <c r="J14" i="2"/>
  <c r="I14" i="2"/>
  <c r="F14" i="2"/>
  <c r="E14" i="2"/>
  <c r="D14" i="2"/>
  <c r="C14" i="2"/>
  <c r="G11" i="2"/>
  <c r="G8" i="2"/>
  <c r="L6" i="2"/>
  <c r="K6" i="2"/>
  <c r="J6" i="2"/>
  <c r="I6" i="2"/>
  <c r="F6" i="2"/>
  <c r="F18" i="2" s="1"/>
  <c r="L18" i="2" s="1"/>
  <c r="E6" i="2"/>
  <c r="E18" i="2" s="1"/>
  <c r="K18" i="2" s="1"/>
  <c r="D6" i="2"/>
  <c r="D18" i="2" s="1"/>
  <c r="J18" i="2" s="1"/>
  <c r="C6" i="2"/>
  <c r="C18" i="2" s="1"/>
  <c r="I18" i="2" s="1"/>
  <c r="L5" i="2"/>
  <c r="K5" i="2"/>
  <c r="J5" i="2"/>
  <c r="I5" i="2"/>
  <c r="F5" i="2"/>
  <c r="E5" i="2"/>
  <c r="D5" i="2"/>
  <c r="C5" i="2"/>
  <c r="L12" i="1"/>
  <c r="K12" i="1"/>
  <c r="J12" i="1"/>
  <c r="I12" i="1"/>
  <c r="F12" i="1"/>
  <c r="E12" i="1"/>
  <c r="D12" i="1"/>
  <c r="C12" i="1"/>
  <c r="L11" i="1"/>
  <c r="K11" i="1"/>
  <c r="J11" i="1"/>
  <c r="I11" i="1"/>
  <c r="F11" i="1"/>
  <c r="E11" i="1"/>
  <c r="D11" i="1"/>
  <c r="C11" i="1"/>
  <c r="L10" i="1"/>
  <c r="K10" i="1"/>
  <c r="J10" i="1"/>
  <c r="I10" i="1"/>
  <c r="F10" i="1"/>
  <c r="E10" i="1"/>
  <c r="D10" i="1"/>
  <c r="C10" i="1"/>
  <c r="L7" i="1"/>
  <c r="K7" i="1"/>
  <c r="J7" i="1"/>
  <c r="I7" i="1"/>
  <c r="F7" i="1"/>
  <c r="E7" i="1"/>
  <c r="D7" i="1"/>
  <c r="L6" i="1"/>
  <c r="K6" i="1"/>
  <c r="J6" i="1"/>
  <c r="I6" i="1"/>
  <c r="F6" i="1"/>
  <c r="E6" i="1"/>
  <c r="D6" i="1"/>
  <c r="C6" i="1"/>
  <c r="G57" i="6" l="1"/>
  <c r="H57" i="6" s="1"/>
  <c r="G45" i="6"/>
  <c r="H45" i="6" s="1"/>
  <c r="G49" i="6"/>
  <c r="H49" i="6" s="1"/>
  <c r="E16" i="6"/>
  <c r="G11" i="4"/>
  <c r="G14" i="4"/>
  <c r="G18" i="4" s="1"/>
  <c r="F17" i="4"/>
  <c r="F18" i="4" s="1"/>
  <c r="J13" i="1"/>
  <c r="G5" i="2"/>
  <c r="M5" i="2"/>
  <c r="D3" i="2" s="1"/>
  <c r="E9" i="2"/>
  <c r="E12" i="2"/>
  <c r="K12" i="2" s="1"/>
  <c r="K11" i="2" s="1"/>
  <c r="C15" i="2"/>
  <c r="I15" i="2" s="1"/>
  <c r="G6" i="1"/>
  <c r="G10" i="1"/>
  <c r="G12" i="1"/>
  <c r="F15" i="2"/>
  <c r="L15" i="2" s="1"/>
  <c r="M14" i="2"/>
  <c r="E15" i="2"/>
  <c r="K15" i="2" s="1"/>
  <c r="F13" i="1"/>
  <c r="E13" i="1"/>
  <c r="M6" i="2"/>
  <c r="C5" i="4" s="1"/>
  <c r="G14" i="2"/>
  <c r="C19" i="2"/>
  <c r="M7" i="1"/>
  <c r="C8" i="4" s="1"/>
  <c r="D8" i="4" s="1"/>
  <c r="D13" i="1"/>
  <c r="I13" i="1"/>
  <c r="M10" i="1"/>
  <c r="M12" i="1"/>
  <c r="M11" i="1"/>
  <c r="M6" i="1"/>
  <c r="C7" i="4" s="1"/>
  <c r="L13" i="1"/>
  <c r="G11" i="1"/>
  <c r="K13" i="1"/>
  <c r="C9" i="2"/>
  <c r="C12" i="2"/>
  <c r="I12" i="2" s="1"/>
  <c r="I11" i="2" s="1"/>
  <c r="J17" i="2"/>
  <c r="K17" i="2" s="1"/>
  <c r="L17" i="2" s="1"/>
  <c r="E19" i="2"/>
  <c r="D9" i="2"/>
  <c r="D12" i="2"/>
  <c r="J12" i="2" s="1"/>
  <c r="J11" i="2" s="1"/>
  <c r="F19" i="2"/>
  <c r="G6" i="2"/>
  <c r="G18" i="2" s="1"/>
  <c r="F9" i="2"/>
  <c r="F12" i="2"/>
  <c r="L12" i="2" s="1"/>
  <c r="L11" i="2" s="1"/>
  <c r="D19" i="2"/>
  <c r="D15" i="2"/>
  <c r="J15" i="2" s="1"/>
  <c r="D7" i="4" l="1"/>
  <c r="D5" i="4"/>
  <c r="F8" i="4"/>
  <c r="G8" i="4"/>
  <c r="C7" i="1"/>
  <c r="G7" i="1" s="1"/>
  <c r="G13" i="1" s="1"/>
  <c r="G12" i="2"/>
  <c r="M15" i="2"/>
  <c r="G19" i="2"/>
  <c r="M13" i="1"/>
  <c r="M11" i="2"/>
  <c r="G15" i="2"/>
  <c r="G9" i="2"/>
  <c r="I9" i="2" s="1"/>
  <c r="J9" i="2" s="1"/>
  <c r="M17" i="2"/>
  <c r="M18" i="2" s="1"/>
  <c r="F5" i="4" l="1"/>
  <c r="G5" i="4"/>
  <c r="F7" i="4"/>
  <c r="G7" i="4"/>
  <c r="M12" i="2"/>
  <c r="C10" i="4"/>
  <c r="D10" i="4" s="1"/>
  <c r="C13" i="1"/>
  <c r="I8" i="2"/>
  <c r="I19" i="2" s="1"/>
  <c r="K9" i="2"/>
  <c r="J8" i="2"/>
  <c r="J19" i="2" s="1"/>
  <c r="G10" i="4" l="1"/>
  <c r="F10" i="4"/>
  <c r="L9" i="2"/>
  <c r="L8" i="2" s="1"/>
  <c r="L19" i="2" s="1"/>
  <c r="K8" i="2"/>
  <c r="K19" i="2" s="1"/>
  <c r="M19" i="2" l="1"/>
  <c r="M8" i="2"/>
  <c r="M9" i="2" l="1"/>
  <c r="C9" i="4"/>
  <c r="D9" i="4" l="1"/>
  <c r="C12" i="4"/>
  <c r="C13" i="4" s="1"/>
  <c r="C19" i="4" s="1"/>
  <c r="F9" i="4" l="1"/>
  <c r="G9" i="4"/>
  <c r="D12" i="4"/>
  <c r="F12" i="4" l="1"/>
  <c r="G12" i="4"/>
  <c r="D13" i="4"/>
  <c r="F13" i="4" l="1"/>
  <c r="F19" i="4" s="1"/>
  <c r="G13" i="4"/>
  <c r="G19" i="4" s="1"/>
</calcChain>
</file>

<file path=xl/sharedStrings.xml><?xml version="1.0" encoding="utf-8"?>
<sst xmlns="http://schemas.openxmlformats.org/spreadsheetml/2006/main" count="154" uniqueCount="79">
  <si>
    <t>Cost of Goods Sold Budget</t>
  </si>
  <si>
    <t>Q1</t>
  </si>
  <si>
    <t>Q2</t>
  </si>
  <si>
    <t>Q3</t>
  </si>
  <si>
    <t>Q4</t>
  </si>
  <si>
    <t>Actual</t>
  </si>
  <si>
    <t>Forecast</t>
  </si>
  <si>
    <t>Direct Costs in CAD</t>
  </si>
  <si>
    <t>Direct Material</t>
  </si>
  <si>
    <t>Direct Labor</t>
  </si>
  <si>
    <t>Indirect Costs in CAD</t>
  </si>
  <si>
    <t>Indirect Labor</t>
  </si>
  <si>
    <t>Utility Expense</t>
  </si>
  <si>
    <t>Depreciation Expense</t>
  </si>
  <si>
    <t>Cost of Goods Sold</t>
  </si>
  <si>
    <t>SG&amp;A Budget</t>
  </si>
  <si>
    <t>as a % of Sales</t>
  </si>
  <si>
    <t>Fixed Cost</t>
  </si>
  <si>
    <t>Total SG&amp;A Cost</t>
  </si>
  <si>
    <t>Variable or Fixed</t>
  </si>
  <si>
    <t xml:space="preserve">Sales Commision Expense </t>
  </si>
  <si>
    <t xml:space="preserve">Marketing Expense </t>
  </si>
  <si>
    <t xml:space="preserve">Payroll Expense </t>
  </si>
  <si>
    <t xml:space="preserve">Office Rent Expense </t>
  </si>
  <si>
    <t>Static Budget</t>
  </si>
  <si>
    <t>Variable</t>
  </si>
  <si>
    <t>Fixed</t>
  </si>
  <si>
    <t>Mixed</t>
  </si>
  <si>
    <t>Variable, Fixed, or Mixed</t>
  </si>
  <si>
    <t>Fixed Portion of Mixed Cost</t>
  </si>
  <si>
    <t>Flexible Budget</t>
  </si>
  <si>
    <t>Sales</t>
  </si>
  <si>
    <t>Units Sales of</t>
  </si>
  <si>
    <t>Variable Amount per Unit</t>
  </si>
  <si>
    <t>Sales Volume</t>
  </si>
  <si>
    <t>Variable Costs</t>
  </si>
  <si>
    <t>x</t>
  </si>
  <si>
    <t>Total Variable Expense</t>
  </si>
  <si>
    <t>Contribution Margin</t>
  </si>
  <si>
    <t>Depreciate Expense</t>
  </si>
  <si>
    <t>Payroll Expense</t>
  </si>
  <si>
    <t>Office Rent Expense</t>
  </si>
  <si>
    <t>Total Fixed Expense</t>
  </si>
  <si>
    <t>Income from Operations</t>
  </si>
  <si>
    <t>Units</t>
  </si>
  <si>
    <t>Fixed Costs</t>
  </si>
  <si>
    <t>Total Costs</t>
  </si>
  <si>
    <t>Total Revenues</t>
  </si>
  <si>
    <t>Break-even Point</t>
  </si>
  <si>
    <t>Variance Analysis</t>
  </si>
  <si>
    <t>Standard Costs per Unit Product A</t>
  </si>
  <si>
    <t>Cost per Unit</t>
  </si>
  <si>
    <t>Total</t>
  </si>
  <si>
    <t>Overhead - Variable Portion</t>
  </si>
  <si>
    <t>Overhead - Fixed Portion</t>
  </si>
  <si>
    <t>Total Standard Costs</t>
  </si>
  <si>
    <t>Production Capacity</t>
  </si>
  <si>
    <t>Production Volume Units</t>
  </si>
  <si>
    <t>Direct Labor Hours</t>
  </si>
  <si>
    <t>Actual Performance</t>
  </si>
  <si>
    <t>Standard Costs Assigned</t>
  </si>
  <si>
    <t>Actual Costs Incurred</t>
  </si>
  <si>
    <t>Variance</t>
  </si>
  <si>
    <t>Direct Material Variance</t>
  </si>
  <si>
    <t>AQ</t>
  </si>
  <si>
    <t>AP</t>
  </si>
  <si>
    <t>`</t>
  </si>
  <si>
    <t>SP</t>
  </si>
  <si>
    <t>SQ</t>
  </si>
  <si>
    <t>Price Variance</t>
  </si>
  <si>
    <t>Volume Variance</t>
  </si>
  <si>
    <t>Direct Labor Variance</t>
  </si>
  <si>
    <t>Overhead Variance</t>
  </si>
  <si>
    <t>Actual  - Variable</t>
  </si>
  <si>
    <t>Actual - Fixed</t>
  </si>
  <si>
    <t>Budgeted - Variable</t>
  </si>
  <si>
    <t>Budgeted - Fixed</t>
  </si>
  <si>
    <t>Applied - Fixed</t>
  </si>
  <si>
    <t>Controllable 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</si>
</sst>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#,##0&quot; units&quot;"/>
    <numFmt numFmtId="166" formatCode="#,##0\ &quot;units&quot;"/>
    <numFmt numFmtId="171" formatCode="&quot;$&quot;#,##0.00"/>
    <numFmt numFmtId="172" formatCode="&quot;$&quot;#,##0.0"/>
    <numFmt numFmtId="173" formatCode="&quot;$&quot;#,##0"/>
    <numFmt numFmtId="174" formatCode="#,##0\ &quot;lbs&quot;"/>
    <numFmt numFmtId="175" formatCode="#,##0\ &quot;hrs&quot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sz val="9"/>
      <color rgb="FF00206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color rgb="FF000000"/>
      <name val="Arial"/>
      <family val="2"/>
    </font>
    <font>
      <b/>
      <i/>
      <sz val="9"/>
      <color theme="1"/>
      <name val="Arial"/>
      <family val="2"/>
    </font>
    <font>
      <b/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medium">
        <color rgb="FF002060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002060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DashDot">
        <color rgb="FFFF0000"/>
      </left>
      <right style="mediumDashDot">
        <color rgb="FFFF0000"/>
      </right>
      <top style="mediumDashDot">
        <color rgb="FFFF0000"/>
      </top>
      <bottom style="medium">
        <color rgb="FF002060"/>
      </bottom>
      <diagonal/>
    </border>
    <border>
      <left style="mediumDashDot">
        <color rgb="FFFF0000"/>
      </left>
      <right style="mediumDashDot">
        <color rgb="FFFF0000"/>
      </right>
      <top/>
      <bottom/>
      <diagonal/>
    </border>
    <border>
      <left style="mediumDashDot">
        <color rgb="FFFF0000"/>
      </left>
      <right style="mediumDashDot">
        <color rgb="FFFF0000"/>
      </right>
      <top/>
      <bottom style="thin">
        <color auto="1"/>
      </bottom>
      <diagonal/>
    </border>
    <border>
      <left style="mediumDashDot">
        <color rgb="FFFF0000"/>
      </left>
      <right style="mediumDashDot">
        <color rgb="FFFF0000"/>
      </right>
      <top/>
      <bottom style="medium">
        <color auto="1"/>
      </bottom>
      <diagonal/>
    </border>
    <border>
      <left style="mediumDashDot">
        <color rgb="FFFF0000"/>
      </left>
      <right style="mediumDashDot">
        <color rgb="FFFF0000"/>
      </right>
      <top/>
      <bottom style="mediumDashDot">
        <color rgb="FFFF000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6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horizontal="right"/>
    </xf>
    <xf numFmtId="0" fontId="5" fillId="2" borderId="2" xfId="0" applyFont="1" applyFill="1" applyBorder="1"/>
    <xf numFmtId="164" fontId="6" fillId="2" borderId="2" xfId="1" applyNumberFormat="1" applyFont="1" applyFill="1" applyBorder="1"/>
    <xf numFmtId="164" fontId="5" fillId="2" borderId="2" xfId="1" applyNumberFormat="1" applyFont="1" applyFill="1" applyBorder="1"/>
    <xf numFmtId="0" fontId="6" fillId="2" borderId="0" xfId="0" applyFont="1" applyFill="1"/>
    <xf numFmtId="3" fontId="6" fillId="2" borderId="0" xfId="1" applyNumberFormat="1" applyFont="1" applyFill="1" applyBorder="1"/>
    <xf numFmtId="3" fontId="5" fillId="2" borderId="0" xfId="1" applyNumberFormat="1" applyFont="1" applyFill="1" applyBorder="1"/>
    <xf numFmtId="0" fontId="5" fillId="2" borderId="0" xfId="0" applyFont="1" applyFill="1"/>
    <xf numFmtId="0" fontId="7" fillId="2" borderId="0" xfId="0" applyFont="1" applyFill="1"/>
    <xf numFmtId="3" fontId="3" fillId="2" borderId="3" xfId="0" applyNumberFormat="1" applyFont="1" applyFill="1" applyBorder="1"/>
    <xf numFmtId="3" fontId="3" fillId="2" borderId="4" xfId="0" applyNumberFormat="1" applyFont="1" applyFill="1" applyBorder="1"/>
    <xf numFmtId="9" fontId="4" fillId="2" borderId="0" xfId="2" applyFont="1" applyFill="1" applyBorder="1"/>
    <xf numFmtId="164" fontId="6" fillId="2" borderId="0" xfId="1" applyNumberFormat="1" applyFont="1" applyFill="1" applyBorder="1"/>
    <xf numFmtId="164" fontId="5" fillId="2" borderId="0" xfId="1" applyNumberFormat="1" applyFont="1" applyFill="1" applyBorder="1"/>
    <xf numFmtId="9" fontId="4" fillId="2" borderId="0" xfId="2" applyFont="1" applyFill="1"/>
    <xf numFmtId="9" fontId="5" fillId="2" borderId="0" xfId="2" applyFont="1" applyFill="1" applyBorder="1"/>
    <xf numFmtId="9" fontId="6" fillId="2" borderId="0" xfId="2" applyFont="1" applyFill="1" applyBorder="1"/>
    <xf numFmtId="9" fontId="5" fillId="2" borderId="0" xfId="1" applyNumberFormat="1" applyFont="1" applyFill="1" applyBorder="1"/>
    <xf numFmtId="3" fontId="6" fillId="2" borderId="0" xfId="0" applyNumberFormat="1" applyFont="1" applyFill="1"/>
    <xf numFmtId="165" fontId="3" fillId="2" borderId="0" xfId="0" applyNumberFormat="1" applyFont="1" applyFill="1"/>
    <xf numFmtId="0" fontId="3" fillId="2" borderId="5" xfId="0" applyFont="1" applyFill="1" applyBorder="1"/>
    <xf numFmtId="3" fontId="8" fillId="2" borderId="0" xfId="0" applyNumberFormat="1" applyFont="1" applyFill="1"/>
    <xf numFmtId="0" fontId="8" fillId="2" borderId="0" xfId="0" applyFont="1" applyFill="1"/>
    <xf numFmtId="165" fontId="5" fillId="2" borderId="0" xfId="0" applyNumberFormat="1" applyFont="1" applyFill="1"/>
    <xf numFmtId="166" fontId="3" fillId="2" borderId="1" xfId="0" applyNumberFormat="1" applyFont="1" applyFill="1" applyBorder="1"/>
    <xf numFmtId="164" fontId="5" fillId="2" borderId="0" xfId="1" applyNumberFormat="1" applyFont="1" applyFill="1"/>
    <xf numFmtId="3" fontId="9" fillId="2" borderId="0" xfId="0" applyNumberFormat="1" applyFont="1" applyFill="1"/>
    <xf numFmtId="0" fontId="9" fillId="2" borderId="0" xfId="0" applyFont="1" applyFill="1" applyAlignment="1">
      <alignment horizontal="left" indent="1"/>
    </xf>
    <xf numFmtId="164" fontId="5" fillId="2" borderId="0" xfId="0" applyNumberFormat="1" applyFont="1" applyFill="1"/>
    <xf numFmtId="2" fontId="6" fillId="2" borderId="0" xfId="0" applyNumberFormat="1" applyFont="1" applyFill="1"/>
    <xf numFmtId="2" fontId="5" fillId="2" borderId="0" xfId="0" applyNumberFormat="1" applyFont="1" applyFill="1"/>
    <xf numFmtId="2" fontId="9" fillId="2" borderId="0" xfId="0" applyNumberFormat="1" applyFont="1" applyFill="1"/>
    <xf numFmtId="3" fontId="7" fillId="2" borderId="0" xfId="0" applyNumberFormat="1" applyFont="1" applyFill="1"/>
    <xf numFmtId="0" fontId="3" fillId="2" borderId="6" xfId="0" applyFont="1" applyFill="1" applyBorder="1"/>
    <xf numFmtId="173" fontId="7" fillId="2" borderId="0" xfId="0" applyNumberFormat="1" applyFont="1" applyFill="1"/>
    <xf numFmtId="3" fontId="10" fillId="2" borderId="0" xfId="0" applyNumberFormat="1" applyFont="1" applyFill="1"/>
    <xf numFmtId="166" fontId="3" fillId="2" borderId="1" xfId="0" applyNumberFormat="1" applyFont="1" applyFill="1" applyBorder="1" applyAlignment="1">
      <alignment horizontal="right"/>
    </xf>
    <xf numFmtId="174" fontId="8" fillId="2" borderId="0" xfId="0" applyNumberFormat="1" applyFont="1" applyFill="1"/>
    <xf numFmtId="175" fontId="8" fillId="2" borderId="0" xfId="0" applyNumberFormat="1" applyFont="1" applyFill="1"/>
    <xf numFmtId="173" fontId="8" fillId="2" borderId="0" xfId="0" applyNumberFormat="1" applyFont="1" applyFill="1"/>
    <xf numFmtId="0" fontId="8" fillId="2" borderId="7" xfId="0" applyFont="1" applyFill="1" applyBorder="1"/>
    <xf numFmtId="175" fontId="8" fillId="2" borderId="7" xfId="0" applyNumberFormat="1" applyFont="1" applyFill="1" applyBorder="1"/>
    <xf numFmtId="173" fontId="8" fillId="2" borderId="7" xfId="0" applyNumberFormat="1" applyFont="1" applyFill="1" applyBorder="1"/>
    <xf numFmtId="9" fontId="5" fillId="2" borderId="0" xfId="0" applyNumberFormat="1" applyFont="1" applyFill="1"/>
    <xf numFmtId="9" fontId="6" fillId="2" borderId="0" xfId="0" applyNumberFormat="1" applyFont="1" applyFill="1"/>
    <xf numFmtId="164" fontId="6" fillId="2" borderId="0" xfId="1" applyNumberFormat="1" applyFont="1" applyFill="1"/>
    <xf numFmtId="0" fontId="2" fillId="2" borderId="0" xfId="0" applyFont="1" applyFill="1" applyAlignment="1">
      <alignment wrapText="1"/>
    </xf>
    <xf numFmtId="0" fontId="4" fillId="2" borderId="0" xfId="0" applyFont="1" applyFill="1" applyAlignment="1">
      <alignment wrapText="1"/>
    </xf>
    <xf numFmtId="166" fontId="3" fillId="2" borderId="1" xfId="0" applyNumberFormat="1" applyFont="1" applyFill="1" applyBorder="1" applyAlignment="1">
      <alignment horizontal="right" wrapText="1"/>
    </xf>
    <xf numFmtId="173" fontId="8" fillId="2" borderId="0" xfId="0" applyNumberFormat="1" applyFont="1" applyFill="1" applyAlignment="1">
      <alignment wrapText="1"/>
    </xf>
    <xf numFmtId="173" fontId="8" fillId="2" borderId="7" xfId="0" applyNumberFormat="1" applyFont="1" applyFill="1" applyBorder="1" applyAlignment="1">
      <alignment wrapText="1"/>
    </xf>
    <xf numFmtId="0" fontId="3" fillId="2" borderId="6" xfId="0" applyFont="1" applyFill="1" applyBorder="1" applyAlignment="1">
      <alignment wrapText="1"/>
    </xf>
    <xf numFmtId="9" fontId="6" fillId="2" borderId="0" xfId="0" applyNumberFormat="1" applyFont="1" applyFill="1" applyAlignment="1">
      <alignment wrapText="1"/>
    </xf>
    <xf numFmtId="164" fontId="6" fillId="2" borderId="0" xfId="1" applyNumberFormat="1" applyFont="1" applyFill="1" applyAlignment="1">
      <alignment wrapText="1"/>
    </xf>
    <xf numFmtId="173" fontId="8" fillId="2" borderId="7" xfId="3" applyNumberFormat="1" applyFont="1" applyFill="1" applyBorder="1"/>
    <xf numFmtId="173" fontId="8" fillId="2" borderId="0" xfId="3" applyNumberFormat="1" applyFont="1" applyFill="1" applyBorder="1"/>
    <xf numFmtId="166" fontId="3" fillId="2" borderId="8" xfId="0" applyNumberFormat="1" applyFont="1" applyFill="1" applyBorder="1" applyAlignment="1">
      <alignment horizontal="right"/>
    </xf>
    <xf numFmtId="173" fontId="8" fillId="2" borderId="9" xfId="0" applyNumberFormat="1" applyFont="1" applyFill="1" applyBorder="1"/>
    <xf numFmtId="173" fontId="8" fillId="2" borderId="10" xfId="0" applyNumberFormat="1" applyFont="1" applyFill="1" applyBorder="1"/>
    <xf numFmtId="0" fontId="3" fillId="2" borderId="11" xfId="0" applyFont="1" applyFill="1" applyBorder="1"/>
    <xf numFmtId="0" fontId="4" fillId="2" borderId="9" xfId="0" applyFont="1" applyFill="1" applyBorder="1"/>
    <xf numFmtId="165" fontId="5" fillId="2" borderId="9" xfId="0" applyNumberFormat="1" applyFont="1" applyFill="1" applyBorder="1"/>
    <xf numFmtId="9" fontId="6" fillId="2" borderId="9" xfId="0" applyNumberFormat="1" applyFont="1" applyFill="1" applyBorder="1"/>
    <xf numFmtId="164" fontId="6" fillId="2" borderId="9" xfId="1" applyNumberFormat="1" applyFont="1" applyFill="1" applyBorder="1"/>
    <xf numFmtId="175" fontId="8" fillId="2" borderId="9" xfId="0" applyNumberFormat="1" applyFont="1" applyFill="1" applyBorder="1"/>
    <xf numFmtId="173" fontId="8" fillId="2" borderId="12" xfId="0" applyNumberFormat="1" applyFont="1" applyFill="1" applyBorder="1"/>
    <xf numFmtId="173" fontId="8" fillId="2" borderId="0" xfId="0" applyNumberFormat="1" applyFont="1" applyFill="1" applyBorder="1"/>
    <xf numFmtId="9" fontId="9" fillId="2" borderId="0" xfId="0" applyNumberFormat="1" applyFont="1" applyFill="1"/>
    <xf numFmtId="165" fontId="9" fillId="2" borderId="0" xfId="0" applyNumberFormat="1" applyFont="1" applyFill="1"/>
    <xf numFmtId="173" fontId="3" fillId="2" borderId="6" xfId="0" applyNumberFormat="1" applyFont="1" applyFill="1" applyBorder="1" applyAlignment="1">
      <alignment wrapText="1"/>
    </xf>
    <xf numFmtId="171" fontId="8" fillId="2" borderId="0" xfId="0" applyNumberFormat="1" applyFont="1" applyFill="1" applyBorder="1"/>
    <xf numFmtId="173" fontId="3" fillId="2" borderId="4" xfId="0" applyNumberFormat="1" applyFont="1" applyFill="1" applyBorder="1" applyAlignment="1">
      <alignment wrapText="1"/>
    </xf>
    <xf numFmtId="0" fontId="5" fillId="2" borderId="1" xfId="0" applyFont="1" applyFill="1" applyBorder="1" applyAlignment="1">
      <alignment horizontal="center"/>
    </xf>
    <xf numFmtId="174" fontId="6" fillId="2" borderId="0" xfId="0" applyNumberFormat="1" applyFont="1" applyFill="1"/>
    <xf numFmtId="171" fontId="6" fillId="2" borderId="0" xfId="0" applyNumberFormat="1" applyFont="1" applyFill="1"/>
    <xf numFmtId="174" fontId="6" fillId="2" borderId="0" xfId="0" applyNumberFormat="1" applyFont="1" applyFill="1" applyAlignment="1">
      <alignment wrapText="1"/>
    </xf>
    <xf numFmtId="173" fontId="6" fillId="2" borderId="0" xfId="0" applyNumberFormat="1" applyFont="1" applyFill="1"/>
    <xf numFmtId="172" fontId="6" fillId="2" borderId="0" xfId="0" applyNumberFormat="1" applyFont="1" applyFill="1"/>
    <xf numFmtId="173" fontId="6" fillId="2" borderId="0" xfId="0" applyNumberFormat="1" applyFont="1" applyFill="1" applyAlignment="1">
      <alignment wrapText="1"/>
    </xf>
    <xf numFmtId="0" fontId="5" fillId="2" borderId="1" xfId="0" applyFont="1" applyFill="1" applyBorder="1"/>
    <xf numFmtId="173" fontId="5" fillId="2" borderId="0" xfId="0" applyNumberFormat="1" applyFont="1" applyFill="1" applyAlignment="1">
      <alignment wrapText="1"/>
    </xf>
  </cellXfs>
  <cellStyles count="4">
    <cellStyle name="Comma" xfId="1" builtinId="3"/>
    <cellStyle name="Currency" xfId="3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bg1"/>
                </a:solidFill>
              </a:rPr>
              <a:t>CVP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'Flexible Budget'!$F$21</c:f>
              <c:strCache>
                <c:ptCount val="1"/>
                <c:pt idx="0">
                  <c:v>Total Costs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'Flexible Budget'!$B$22:$B$43</c:f>
              <c:numCache>
                <c:formatCode>#,##0</c:formatCode>
                <c:ptCount val="22"/>
                <c:pt idx="0" formatCode="General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  <c:pt idx="21">
                  <c:v>2100000</c:v>
                </c:pt>
              </c:numCache>
            </c:numRef>
          </c:cat>
          <c:val>
            <c:numRef>
              <c:f>'Flexible Budget'!$F$22:$F$43</c:f>
              <c:numCache>
                <c:formatCode>"$"#,##0</c:formatCode>
                <c:ptCount val="22"/>
                <c:pt idx="0">
                  <c:v>2840900.2889193781</c:v>
                </c:pt>
                <c:pt idx="1">
                  <c:v>3484359.955106562</c:v>
                </c:pt>
                <c:pt idx="2">
                  <c:v>4127819.6212937459</c:v>
                </c:pt>
                <c:pt idx="3">
                  <c:v>4771279.2874809299</c:v>
                </c:pt>
                <c:pt idx="4">
                  <c:v>5414738.9536681138</c:v>
                </c:pt>
                <c:pt idx="5">
                  <c:v>6058198.6198552977</c:v>
                </c:pt>
                <c:pt idx="6">
                  <c:v>6701658.2860424817</c:v>
                </c:pt>
                <c:pt idx="7">
                  <c:v>7345117.9522296665</c:v>
                </c:pt>
                <c:pt idx="8">
                  <c:v>7988577.6184168505</c:v>
                </c:pt>
                <c:pt idx="9">
                  <c:v>8632037.2846040353</c:v>
                </c:pt>
                <c:pt idx="10">
                  <c:v>9275496.9507912174</c:v>
                </c:pt>
                <c:pt idx="11">
                  <c:v>9918956.6169784032</c:v>
                </c:pt>
                <c:pt idx="12">
                  <c:v>10562416.283165585</c:v>
                </c:pt>
                <c:pt idx="13">
                  <c:v>11205875.949352771</c:v>
                </c:pt>
                <c:pt idx="14">
                  <c:v>11849335.615539955</c:v>
                </c:pt>
                <c:pt idx="15">
                  <c:v>12492795.281727139</c:v>
                </c:pt>
                <c:pt idx="16">
                  <c:v>13136254.947914323</c:v>
                </c:pt>
                <c:pt idx="17">
                  <c:v>13779714.614101507</c:v>
                </c:pt>
                <c:pt idx="18">
                  <c:v>14423174.280288691</c:v>
                </c:pt>
                <c:pt idx="19">
                  <c:v>15066633.946475875</c:v>
                </c:pt>
                <c:pt idx="20">
                  <c:v>15710093.612663059</c:v>
                </c:pt>
                <c:pt idx="21">
                  <c:v>16353553.278850242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E1-483C-B818-46552F985B57}"/>
            </c:ext>
          </c:extLst>
        </c:ser>
        <c:ser>
          <c:idx val="1"/>
          <c:order val="1"/>
          <c:tx>
            <c:strRef>
              <c:f>'Flexible Budget'!$G$21</c:f>
              <c:strCache>
                <c:ptCount val="1"/>
                <c:pt idx="0">
                  <c:v>Total Revenues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'Flexible Budget'!$B$22:$B$43</c:f>
              <c:numCache>
                <c:formatCode>#,##0</c:formatCode>
                <c:ptCount val="22"/>
                <c:pt idx="0" formatCode="General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  <c:pt idx="21">
                  <c:v>2100000</c:v>
                </c:pt>
              </c:numCache>
            </c:numRef>
          </c:cat>
          <c:val>
            <c:numRef>
              <c:f>'Flexible Budget'!$G$22:$G$43</c:f>
              <c:numCache>
                <c:formatCode>"$"#,##0</c:formatCode>
                <c:ptCount val="22"/>
                <c:pt idx="0">
                  <c:v>0</c:v>
                </c:pt>
                <c:pt idx="1">
                  <c:v>1883333.3333333333</c:v>
                </c:pt>
                <c:pt idx="2">
                  <c:v>3766666.6666666665</c:v>
                </c:pt>
                <c:pt idx="3">
                  <c:v>5650000</c:v>
                </c:pt>
                <c:pt idx="4">
                  <c:v>7533333.333333333</c:v>
                </c:pt>
                <c:pt idx="5">
                  <c:v>9416666.666666666</c:v>
                </c:pt>
                <c:pt idx="6">
                  <c:v>11300000</c:v>
                </c:pt>
                <c:pt idx="7">
                  <c:v>13183333.333333332</c:v>
                </c:pt>
                <c:pt idx="8">
                  <c:v>15066666.666666666</c:v>
                </c:pt>
                <c:pt idx="9">
                  <c:v>16950000</c:v>
                </c:pt>
                <c:pt idx="10">
                  <c:v>18833333.333333332</c:v>
                </c:pt>
                <c:pt idx="11">
                  <c:v>20716666.666666664</c:v>
                </c:pt>
                <c:pt idx="12">
                  <c:v>22600000</c:v>
                </c:pt>
                <c:pt idx="13">
                  <c:v>24483333.333333332</c:v>
                </c:pt>
                <c:pt idx="14">
                  <c:v>26366666.666666664</c:v>
                </c:pt>
                <c:pt idx="15">
                  <c:v>28250000</c:v>
                </c:pt>
                <c:pt idx="16">
                  <c:v>30133333.333333332</c:v>
                </c:pt>
                <c:pt idx="17">
                  <c:v>32016666.666666664</c:v>
                </c:pt>
                <c:pt idx="18">
                  <c:v>33900000</c:v>
                </c:pt>
                <c:pt idx="19">
                  <c:v>35783333.333333328</c:v>
                </c:pt>
                <c:pt idx="20">
                  <c:v>37666666.666666664</c:v>
                </c:pt>
                <c:pt idx="21">
                  <c:v>39550000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E1-483C-B818-46552F985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8851824"/>
        <c:axId val="934003344"/>
      </c:lineChart>
      <c:catAx>
        <c:axId val="140885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4003344"/>
        <c:crosses val="autoZero"/>
        <c:auto val="1"/>
        <c:lblAlgn val="ctr"/>
        <c:lblOffset val="100"/>
        <c:noMultiLvlLbl val="0"/>
      </c:catAx>
      <c:valAx>
        <c:axId val="934003344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85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10</xdr:row>
      <xdr:rowOff>66675</xdr:rowOff>
    </xdr:from>
    <xdr:to>
      <xdr:col>16</xdr:col>
      <xdr:colOff>38100</xdr:colOff>
      <xdr:row>38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563351-107B-2B4C-6FD2-C78597536B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0.15625</cdr:x>
      <cdr:y>0.66218</cdr:y>
    </cdr:from>
    <cdr:to>
      <cdr:x>0.33125</cdr:x>
      <cdr:y>0.74747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1CAF5C0-6620-CDFF-F5CB-C30C73911350}"/>
            </a:ext>
          </a:extLst>
        </cdr:cNvPr>
        <cdr:cNvSpPr txBox="1"/>
      </cdr:nvSpPr>
      <cdr:spPr>
        <a:xfrm xmlns:a="http://schemas.openxmlformats.org/drawingml/2006/main">
          <a:off x="714375" y="2809875"/>
          <a:ext cx="8001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>
              <a:solidFill>
                <a:schemeClr val="bg1"/>
              </a:solidFill>
            </a:rPr>
            <a:t>229.128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fpa_fin_model_automation\basic_fpna.xlsm" TargetMode="External"/><Relationship Id="rId1" Type="http://schemas.openxmlformats.org/officeDocument/2006/relationships/externalLinkPath" Target="basic_fpn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C"/>
      <sheetName val="Operating Budget"/>
      <sheetName val="1. Sales Budget"/>
      <sheetName val="1.a Bottom-up Approach"/>
      <sheetName val="1.b Top-down Approach"/>
      <sheetName val="2. Production Budget"/>
      <sheetName val="3. Cost of Goods Sold Budget"/>
      <sheetName val="3.1 Direct Material Budget"/>
      <sheetName val="3.2 Direct Labor Budget"/>
      <sheetName val="3.3 Overhead Budget"/>
      <sheetName val="4. SG&amp;A Budget"/>
      <sheetName val="4.1 Payroll Budget"/>
      <sheetName val="Cash Budget"/>
      <sheetName val="5. Working Capital Budget"/>
      <sheetName val="6. Fixed Assets Budget"/>
      <sheetName val="7. Loan Repayment Schedule"/>
      <sheetName val="Master Budget"/>
      <sheetName val="Income Statement"/>
      <sheetName val="Balance Sheet"/>
      <sheetName val="Cash Flow Statement"/>
    </sheetNames>
    <sheetDataSet>
      <sheetData sheetId="0"/>
      <sheetData sheetId="1"/>
      <sheetData sheetId="2">
        <row r="10">
          <cell r="C10">
            <v>225000</v>
          </cell>
          <cell r="D10">
            <v>375000</v>
          </cell>
          <cell r="E10">
            <v>450000</v>
          </cell>
          <cell r="F10">
            <v>105000</v>
          </cell>
          <cell r="I10">
            <v>251600</v>
          </cell>
          <cell r="J10">
            <v>420000</v>
          </cell>
          <cell r="K10">
            <v>539000</v>
          </cell>
          <cell r="L10">
            <v>120199.99999999999</v>
          </cell>
        </row>
        <row r="21">
          <cell r="C21">
            <v>4125000</v>
          </cell>
          <cell r="D21">
            <v>6875000</v>
          </cell>
          <cell r="E21">
            <v>8250000</v>
          </cell>
          <cell r="F21">
            <v>1925000</v>
          </cell>
          <cell r="I21">
            <v>4738466.666666666</v>
          </cell>
          <cell r="J21">
            <v>7910000</v>
          </cell>
          <cell r="K21">
            <v>10151166.666666666</v>
          </cell>
          <cell r="L21">
            <v>2263766.666666666</v>
          </cell>
        </row>
      </sheetData>
      <sheetData sheetId="3"/>
      <sheetData sheetId="4"/>
      <sheetData sheetId="5"/>
      <sheetData sheetId="6"/>
      <sheetData sheetId="7">
        <row r="20">
          <cell r="C20">
            <v>-259417.5</v>
          </cell>
          <cell r="D20">
            <v>-499395</v>
          </cell>
          <cell r="E20">
            <v>-579150</v>
          </cell>
          <cell r="F20">
            <v>-55500</v>
          </cell>
          <cell r="I20">
            <v>-346473.51999999996</v>
          </cell>
          <cell r="J20">
            <v>-559050.48</v>
          </cell>
          <cell r="K20">
            <v>-697811.79999999993</v>
          </cell>
          <cell r="L20">
            <v>-65568.639999999985</v>
          </cell>
        </row>
      </sheetData>
      <sheetData sheetId="8">
        <row r="24">
          <cell r="D24">
            <v>-1437840</v>
          </cell>
          <cell r="E24">
            <v>-1666800</v>
          </cell>
          <cell r="F24">
            <v>-162000</v>
          </cell>
          <cell r="I24">
            <v>-997127.29142857122</v>
          </cell>
          <cell r="J24">
            <v>-1609296.7085714284</v>
          </cell>
          <cell r="K24">
            <v>-2009154.7999999998</v>
          </cell>
          <cell r="L24">
            <v>-190749.32571428566</v>
          </cell>
        </row>
      </sheetData>
      <sheetData sheetId="9">
        <row r="12">
          <cell r="C12">
            <v>-100000</v>
          </cell>
          <cell r="D12">
            <v>-100000</v>
          </cell>
          <cell r="E12">
            <v>-100000</v>
          </cell>
          <cell r="F12">
            <v>-100000</v>
          </cell>
          <cell r="I12">
            <v>-120000</v>
          </cell>
          <cell r="J12">
            <v>-120000</v>
          </cell>
          <cell r="K12">
            <v>-120000</v>
          </cell>
          <cell r="L12">
            <v>-120000</v>
          </cell>
        </row>
        <row r="17">
          <cell r="C17">
            <v>-31087.5</v>
          </cell>
          <cell r="D17">
            <v>-59910</v>
          </cell>
          <cell r="E17">
            <v>-69450</v>
          </cell>
          <cell r="F17">
            <v>-6750</v>
          </cell>
          <cell r="I17">
            <v>-41546.970476190472</v>
          </cell>
          <cell r="J17">
            <v>-67054.029523809513</v>
          </cell>
          <cell r="K17">
            <v>-83714.783333333326</v>
          </cell>
          <cell r="L17">
            <v>-7947.8885714285689</v>
          </cell>
        </row>
        <row r="19">
          <cell r="C19">
            <v>-102000</v>
          </cell>
          <cell r="D19">
            <v>-114583.35</v>
          </cell>
          <cell r="E19">
            <v>-130000</v>
          </cell>
          <cell r="F19">
            <v>-140000</v>
          </cell>
          <cell r="I19">
            <v>-137693.8282306412</v>
          </cell>
          <cell r="J19">
            <v>-157440.83445501066</v>
          </cell>
          <cell r="K19">
            <v>-186587.72685605849</v>
          </cell>
          <cell r="L19">
            <v>-223177.8993776679</v>
          </cell>
        </row>
      </sheetData>
      <sheetData sheetId="10"/>
      <sheetData sheetId="11">
        <row r="20">
          <cell r="C20">
            <v>-280000</v>
          </cell>
          <cell r="D20">
            <v>-280000</v>
          </cell>
          <cell r="E20">
            <v>-280000</v>
          </cell>
          <cell r="F20">
            <v>-280000</v>
          </cell>
          <cell r="I20">
            <v>-294000</v>
          </cell>
          <cell r="J20">
            <v>-294000</v>
          </cell>
          <cell r="K20">
            <v>-294000</v>
          </cell>
          <cell r="L20">
            <v>-294000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4E54F-4396-4538-82A5-34DC2E8DAB8B}">
  <sheetPr codeName="Sheet1">
    <tabColor rgb="FF002060"/>
  </sheetPr>
  <dimension ref="B1"/>
  <sheetViews>
    <sheetView showGridLines="0" workbookViewId="0">
      <selection activeCell="C2" sqref="C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1" customFormat="1" ht="15.75" x14ac:dyDescent="0.25">
      <c r="B1" s="1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BB2CF-9706-43D3-9252-8DC701C42F1B}">
  <sheetPr codeName="Sheet4">
    <tabColor rgb="FF002060"/>
  </sheetPr>
  <dimension ref="B1:R21"/>
  <sheetViews>
    <sheetView showGridLines="0" workbookViewId="0">
      <selection activeCell="S13" sqref="S13"/>
    </sheetView>
  </sheetViews>
  <sheetFormatPr defaultRowHeight="12" x14ac:dyDescent="0.2"/>
  <cols>
    <col min="1" max="1" width="2.28515625" style="3" customWidth="1"/>
    <col min="2" max="2" width="18.7109375" style="3" customWidth="1"/>
    <col min="3" max="3" width="11.5703125" style="3" bestFit="1" customWidth="1"/>
    <col min="4" max="6" width="9.140625" style="3"/>
    <col min="7" max="7" width="10.5703125" style="3" bestFit="1" customWidth="1"/>
    <col min="8" max="8" width="2.28515625" style="3" customWidth="1"/>
    <col min="9" max="13" width="9.140625" style="3"/>
    <col min="14" max="14" width="2.28515625" style="3" customWidth="1"/>
    <col min="15" max="15" width="21" style="2" bestFit="1" customWidth="1"/>
    <col min="16" max="16" width="24.7109375" style="3" bestFit="1" customWidth="1"/>
    <col min="17" max="16384" width="9.140625" style="3"/>
  </cols>
  <sheetData>
    <row r="1" spans="2:18" s="1" customFormat="1" ht="15.75" x14ac:dyDescent="0.25">
      <c r="B1" s="1" t="s">
        <v>0</v>
      </c>
    </row>
    <row r="3" spans="2:18" x14ac:dyDescent="0.2">
      <c r="B3" s="2"/>
      <c r="C3" s="2">
        <v>2022</v>
      </c>
      <c r="D3" s="2">
        <v>2022</v>
      </c>
      <c r="E3" s="2">
        <v>2022</v>
      </c>
      <c r="F3" s="2">
        <v>2022</v>
      </c>
      <c r="G3" s="2">
        <v>2022</v>
      </c>
      <c r="I3" s="2">
        <v>2023</v>
      </c>
      <c r="J3" s="2">
        <v>2023</v>
      </c>
      <c r="K3" s="2">
        <v>2023</v>
      </c>
      <c r="L3" s="2">
        <v>2023</v>
      </c>
      <c r="M3" s="2">
        <v>2023</v>
      </c>
      <c r="O3" s="2" t="s">
        <v>28</v>
      </c>
      <c r="P3" s="2" t="s">
        <v>29</v>
      </c>
    </row>
    <row r="4" spans="2:18" ht="12.75" thickBot="1" x14ac:dyDescent="0.25">
      <c r="B4" s="4"/>
      <c r="C4" s="5" t="s">
        <v>1</v>
      </c>
      <c r="D4" s="5" t="s">
        <v>2</v>
      </c>
      <c r="E4" s="5" t="s">
        <v>3</v>
      </c>
      <c r="F4" s="5" t="s">
        <v>4</v>
      </c>
      <c r="G4" s="5" t="s">
        <v>5</v>
      </c>
      <c r="I4" s="5" t="s">
        <v>1</v>
      </c>
      <c r="J4" s="5" t="s">
        <v>2</v>
      </c>
      <c r="K4" s="5" t="s">
        <v>3</v>
      </c>
      <c r="L4" s="5" t="s">
        <v>4</v>
      </c>
      <c r="M4" s="5" t="s">
        <v>6</v>
      </c>
      <c r="O4" s="5"/>
    </row>
    <row r="5" spans="2:18" x14ac:dyDescent="0.2">
      <c r="B5" s="6" t="s">
        <v>7</v>
      </c>
      <c r="C5" s="7"/>
      <c r="D5" s="7"/>
      <c r="E5" s="7"/>
      <c r="F5" s="7"/>
      <c r="G5" s="8"/>
      <c r="I5" s="7"/>
      <c r="J5" s="7"/>
      <c r="K5" s="7"/>
      <c r="L5" s="7"/>
      <c r="M5" s="8"/>
    </row>
    <row r="6" spans="2:18" x14ac:dyDescent="0.2">
      <c r="B6" s="9" t="s">
        <v>8</v>
      </c>
      <c r="C6" s="10">
        <f>'[1]3.1 Direct Material Budget'!C20</f>
        <v>-259417.5</v>
      </c>
      <c r="D6" s="10">
        <f>'[1]3.1 Direct Material Budget'!D20</f>
        <v>-499395</v>
      </c>
      <c r="E6" s="10">
        <f>'[1]3.1 Direct Material Budget'!E20</f>
        <v>-579150</v>
      </c>
      <c r="F6" s="10">
        <f>'[1]3.1 Direct Material Budget'!F20</f>
        <v>-55500</v>
      </c>
      <c r="G6" s="11">
        <f>SUM(C6:F6)</f>
        <v>-1393462.5</v>
      </c>
      <c r="I6" s="10">
        <f>'[1]3.1 Direct Material Budget'!I20</f>
        <v>-346473.51999999996</v>
      </c>
      <c r="J6" s="10">
        <f>'[1]3.1 Direct Material Budget'!J20</f>
        <v>-559050.48</v>
      </c>
      <c r="K6" s="10">
        <f>'[1]3.1 Direct Material Budget'!K20</f>
        <v>-697811.79999999993</v>
      </c>
      <c r="L6" s="10">
        <f>'[1]3.1 Direct Material Budget'!L20</f>
        <v>-65568.639999999985</v>
      </c>
      <c r="M6" s="11">
        <f>SUM(I6:L6)</f>
        <v>-1668904.4399999997</v>
      </c>
      <c r="O6" s="2" t="s">
        <v>25</v>
      </c>
      <c r="R6" s="3" t="s">
        <v>36</v>
      </c>
    </row>
    <row r="7" spans="2:18" x14ac:dyDescent="0.2">
      <c r="B7" s="9" t="s">
        <v>9</v>
      </c>
      <c r="C7" s="10">
        <f>INDEX('3. Cost of Goods Sold Budget'!$B$4:$M$12,MATCH($B$7,'3. Cost of Goods Sold Budget'!$B$4:$B$12,0),MATCH("Forecast",'3. Cost of Goods Sold Budget'!$B$4:$M$4,0))</f>
        <v>-4806328.1257142844</v>
      </c>
      <c r="D7" s="10">
        <f>'[1]3.2 Direct Labor Budget'!D24</f>
        <v>-1437840</v>
      </c>
      <c r="E7" s="10">
        <f>'[1]3.2 Direct Labor Budget'!E24</f>
        <v>-1666800</v>
      </c>
      <c r="F7" s="10">
        <f>'[1]3.2 Direct Labor Budget'!F24</f>
        <v>-162000</v>
      </c>
      <c r="G7" s="11">
        <f>SUM(C7:F7)</f>
        <v>-8072968.1257142844</v>
      </c>
      <c r="I7" s="10">
        <f>'[1]3.2 Direct Labor Budget'!I24</f>
        <v>-997127.29142857122</v>
      </c>
      <c r="J7" s="10">
        <f>'[1]3.2 Direct Labor Budget'!J24</f>
        <v>-1609296.7085714284</v>
      </c>
      <c r="K7" s="10">
        <f>'[1]3.2 Direct Labor Budget'!K24</f>
        <v>-2009154.7999999998</v>
      </c>
      <c r="L7" s="10">
        <f>'[1]3.2 Direct Labor Budget'!L24</f>
        <v>-190749.32571428566</v>
      </c>
      <c r="M7" s="11">
        <f>SUM(I7:L7)</f>
        <v>-4806328.1257142844</v>
      </c>
      <c r="O7" s="2" t="s">
        <v>25</v>
      </c>
    </row>
    <row r="8" spans="2:18" x14ac:dyDescent="0.2">
      <c r="C8" s="10"/>
      <c r="D8" s="10"/>
      <c r="E8" s="10"/>
      <c r="F8" s="10"/>
    </row>
    <row r="9" spans="2:18" x14ac:dyDescent="0.2">
      <c r="B9" s="12" t="s">
        <v>10</v>
      </c>
      <c r="C9" s="10"/>
      <c r="D9" s="10"/>
      <c r="E9" s="10"/>
      <c r="F9" s="10"/>
    </row>
    <row r="10" spans="2:18" x14ac:dyDescent="0.2">
      <c r="B10" s="13" t="s">
        <v>11</v>
      </c>
      <c r="C10" s="10">
        <f>'[1]3.3 Overhead Budget'!C12</f>
        <v>-100000</v>
      </c>
      <c r="D10" s="10">
        <f>'[1]3.3 Overhead Budget'!D12</f>
        <v>-100000</v>
      </c>
      <c r="E10" s="10">
        <f>'[1]3.3 Overhead Budget'!E12</f>
        <v>-100000</v>
      </c>
      <c r="F10" s="10">
        <f>'[1]3.3 Overhead Budget'!F12</f>
        <v>-100000</v>
      </c>
      <c r="G10" s="11">
        <f>SUM(C10:F10)</f>
        <v>-400000</v>
      </c>
      <c r="H10" s="13"/>
      <c r="I10" s="10">
        <f>'[1]3.3 Overhead Budget'!I12</f>
        <v>-120000</v>
      </c>
      <c r="J10" s="10">
        <f>'[1]3.3 Overhead Budget'!J12</f>
        <v>-120000</v>
      </c>
      <c r="K10" s="10">
        <f>'[1]3.3 Overhead Budget'!K12</f>
        <v>-120000</v>
      </c>
      <c r="L10" s="10">
        <f>'[1]3.3 Overhead Budget'!L12</f>
        <v>-120000</v>
      </c>
      <c r="M10" s="11">
        <f>SUM(I10:L10)</f>
        <v>-480000</v>
      </c>
      <c r="N10" s="13"/>
      <c r="O10" s="2" t="s">
        <v>26</v>
      </c>
    </row>
    <row r="11" spans="2:18" x14ac:dyDescent="0.2">
      <c r="B11" s="13" t="s">
        <v>12</v>
      </c>
      <c r="C11" s="10">
        <f>'[1]3.3 Overhead Budget'!C17</f>
        <v>-31087.5</v>
      </c>
      <c r="D11" s="10">
        <f>'[1]3.3 Overhead Budget'!D17</f>
        <v>-59910</v>
      </c>
      <c r="E11" s="10">
        <f>'[1]3.3 Overhead Budget'!E17</f>
        <v>-69450</v>
      </c>
      <c r="F11" s="10">
        <f>'[1]3.3 Overhead Budget'!F17</f>
        <v>-6750</v>
      </c>
      <c r="G11" s="11">
        <f>SUM(C11:F11)</f>
        <v>-167197.5</v>
      </c>
      <c r="H11" s="13"/>
      <c r="I11" s="10">
        <f>'[1]3.3 Overhead Budget'!I17</f>
        <v>-41546.970476190472</v>
      </c>
      <c r="J11" s="10">
        <f>'[1]3.3 Overhead Budget'!J17</f>
        <v>-67054.029523809513</v>
      </c>
      <c r="K11" s="10">
        <f>'[1]3.3 Overhead Budget'!K17</f>
        <v>-83714.783333333326</v>
      </c>
      <c r="L11" s="10">
        <f>'[1]3.3 Overhead Budget'!L17</f>
        <v>-7947.8885714285689</v>
      </c>
      <c r="M11" s="11">
        <f>SUM(I11:L11)</f>
        <v>-200263.6719047619</v>
      </c>
      <c r="N11" s="13"/>
      <c r="O11" s="2" t="s">
        <v>27</v>
      </c>
      <c r="P11" s="11">
        <v>-40000</v>
      </c>
    </row>
    <row r="12" spans="2:18" x14ac:dyDescent="0.2">
      <c r="B12" s="13" t="s">
        <v>13</v>
      </c>
      <c r="C12" s="10">
        <f>'[1]3.3 Overhead Budget'!C19</f>
        <v>-102000</v>
      </c>
      <c r="D12" s="10">
        <f>'[1]3.3 Overhead Budget'!D19</f>
        <v>-114583.35</v>
      </c>
      <c r="E12" s="10">
        <f>'[1]3.3 Overhead Budget'!E19</f>
        <v>-130000</v>
      </c>
      <c r="F12" s="10">
        <f>'[1]3.3 Overhead Budget'!F19</f>
        <v>-140000</v>
      </c>
      <c r="G12" s="11">
        <f>SUM(C12:F12)</f>
        <v>-486583.35</v>
      </c>
      <c r="H12" s="13"/>
      <c r="I12" s="10">
        <f>'[1]3.3 Overhead Budget'!I19</f>
        <v>-137693.8282306412</v>
      </c>
      <c r="J12" s="10">
        <f>'[1]3.3 Overhead Budget'!J19</f>
        <v>-157440.83445501066</v>
      </c>
      <c r="K12" s="10">
        <f>'[1]3.3 Overhead Budget'!K19</f>
        <v>-186587.72685605849</v>
      </c>
      <c r="L12" s="10">
        <f>'[1]3.3 Overhead Budget'!L19</f>
        <v>-223177.8993776679</v>
      </c>
      <c r="M12" s="11">
        <f>SUM(I12:L12)</f>
        <v>-704900.2889193783</v>
      </c>
      <c r="N12" s="13"/>
      <c r="O12" s="2" t="s">
        <v>26</v>
      </c>
    </row>
    <row r="13" spans="2:18" ht="12.75" thickBot="1" x14ac:dyDescent="0.25">
      <c r="B13" s="14" t="s">
        <v>14</v>
      </c>
      <c r="C13" s="15">
        <f>SUM(C6:C7)+SUM(C10:C12)</f>
        <v>-5298833.1257142844</v>
      </c>
      <c r="D13" s="15">
        <f>SUM(D6:D7)+SUM(D10:D12)</f>
        <v>-2211728.35</v>
      </c>
      <c r="E13" s="15">
        <f>SUM(E6:E7)+SUM(E10:E12)</f>
        <v>-2545400</v>
      </c>
      <c r="F13" s="15">
        <f>SUM(F6:F7)+SUM(F10:F12)</f>
        <v>-464250</v>
      </c>
      <c r="G13" s="15">
        <f>SUM(G6:G7)+SUM(G10:G12)</f>
        <v>-10520211.475714283</v>
      </c>
      <c r="I13" s="15">
        <f>SUM(I6:I7)+SUM(I10:I12)</f>
        <v>-1642841.6101354028</v>
      </c>
      <c r="J13" s="15">
        <f>SUM(J6:J7)+SUM(J10:J12)</f>
        <v>-2512842.0525502488</v>
      </c>
      <c r="K13" s="15">
        <f>SUM(K6:K7)+SUM(K10:K12)</f>
        <v>-3097269.1101893913</v>
      </c>
      <c r="L13" s="15">
        <f>SUM(L6:L7)+SUM(L10:L12)</f>
        <v>-607443.75366338214</v>
      </c>
      <c r="M13" s="15">
        <f>SUM(M6:M7)+SUM(M10:M12)</f>
        <v>-7860396.5265384242</v>
      </c>
    </row>
    <row r="15" spans="2:18" x14ac:dyDescent="0.2">
      <c r="G15" s="16"/>
      <c r="M15" s="16"/>
    </row>
    <row r="21" spans="18:18" x14ac:dyDescent="0.2">
      <c r="R21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BEE60-D9FA-42A1-9459-B3FDF79627DB}">
  <sheetPr codeName="Sheet7">
    <tabColor rgb="FF002060"/>
  </sheetPr>
  <dimension ref="B1:R27"/>
  <sheetViews>
    <sheetView showGridLines="0" workbookViewId="0">
      <selection activeCell="H56" sqref="H56:I57"/>
    </sheetView>
  </sheetViews>
  <sheetFormatPr defaultRowHeight="12" x14ac:dyDescent="0.2"/>
  <cols>
    <col min="1" max="1" width="2.28515625" style="3" customWidth="1"/>
    <col min="2" max="2" width="12.140625" style="3" bestFit="1" customWidth="1"/>
    <col min="3" max="3" width="21.5703125" style="3" bestFit="1" customWidth="1"/>
    <col min="4" max="4" width="13.42578125" style="3" bestFit="1" customWidth="1"/>
    <col min="5" max="5" width="12.140625" style="3" bestFit="1" customWidth="1"/>
    <col min="6" max="6" width="10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3" customWidth="1"/>
    <col min="15" max="15" width="9.140625" style="2"/>
    <col min="16" max="16384" width="9.140625" style="3"/>
  </cols>
  <sheetData>
    <row r="1" spans="2:15" s="1" customFormat="1" ht="15.75" x14ac:dyDescent="0.25">
      <c r="B1" s="1" t="s">
        <v>15</v>
      </c>
    </row>
    <row r="3" spans="2:15" x14ac:dyDescent="0.2">
      <c r="B3" s="2"/>
      <c r="C3" s="2" t="s">
        <v>34</v>
      </c>
      <c r="D3" s="24">
        <f>INDEX('4. SG&amp;A Budget'!$B$4:$M$18,MATCH(C3,'4. SG&amp;A Budget'!$B$4:$B$18,0),MATCH("Forecast",'4. SG&amp;A Budget'!$B$4:$M$4,0))</f>
        <v>1330800</v>
      </c>
      <c r="E3" s="2" t="s">
        <v>32</v>
      </c>
      <c r="F3" s="2">
        <v>2022</v>
      </c>
      <c r="G3" s="2">
        <v>2022</v>
      </c>
      <c r="I3" s="2">
        <v>2023</v>
      </c>
      <c r="J3" s="2">
        <v>2023</v>
      </c>
      <c r="K3" s="2">
        <v>2023</v>
      </c>
      <c r="L3" s="2">
        <v>2023</v>
      </c>
      <c r="M3" s="2">
        <v>2023</v>
      </c>
      <c r="O3" s="2" t="s">
        <v>19</v>
      </c>
    </row>
    <row r="4" spans="2:15" ht="12.75" thickBot="1" x14ac:dyDescent="0.25">
      <c r="B4" s="4"/>
      <c r="C4" s="5" t="s">
        <v>33</v>
      </c>
      <c r="D4" s="5" t="s">
        <v>17</v>
      </c>
      <c r="E4" s="5" t="s">
        <v>3</v>
      </c>
      <c r="F4" s="5" t="s">
        <v>4</v>
      </c>
      <c r="G4" s="5" t="s">
        <v>5</v>
      </c>
      <c r="I4" s="5" t="s">
        <v>1</v>
      </c>
      <c r="J4" s="5" t="s">
        <v>2</v>
      </c>
      <c r="K4" s="5" t="s">
        <v>3</v>
      </c>
      <c r="L4" s="5" t="s">
        <v>4</v>
      </c>
      <c r="M4" s="5" t="s">
        <v>6</v>
      </c>
      <c r="O4" s="5"/>
    </row>
    <row r="5" spans="2:15" x14ac:dyDescent="0.2">
      <c r="B5" s="12" t="s">
        <v>34</v>
      </c>
      <c r="C5" s="8">
        <f>'[1]1. Sales Budget'!C10</f>
        <v>225000</v>
      </c>
      <c r="D5" s="8">
        <f>'[1]1. Sales Budget'!D10</f>
        <v>375000</v>
      </c>
      <c r="E5" s="8">
        <f>'[1]1. Sales Budget'!E10</f>
        <v>450000</v>
      </c>
      <c r="F5" s="8">
        <f>'[1]1. Sales Budget'!F10</f>
        <v>105000</v>
      </c>
      <c r="G5" s="8">
        <f>SUM(C5:F5)</f>
        <v>1155000</v>
      </c>
      <c r="H5" s="9"/>
      <c r="I5" s="7">
        <f>'[1]1. Sales Budget'!I10</f>
        <v>251600</v>
      </c>
      <c r="J5" s="7">
        <f>'[1]1. Sales Budget'!J10</f>
        <v>420000</v>
      </c>
      <c r="K5" s="7">
        <f>'[1]1. Sales Budget'!K10</f>
        <v>539000</v>
      </c>
      <c r="L5" s="7">
        <f>'[1]1. Sales Budget'!L10</f>
        <v>120199.99999999999</v>
      </c>
      <c r="M5" s="8">
        <f>SUM(I5:L5)</f>
        <v>1330800</v>
      </c>
      <c r="N5" s="9"/>
    </row>
    <row r="6" spans="2:15" x14ac:dyDescent="0.2">
      <c r="B6" s="12" t="s">
        <v>31</v>
      </c>
      <c r="C6" s="18">
        <f>'[1]1. Sales Budget'!C21</f>
        <v>4125000</v>
      </c>
      <c r="D6" s="18">
        <f>'[1]1. Sales Budget'!D21</f>
        <v>6875000</v>
      </c>
      <c r="E6" s="18">
        <f>'[1]1. Sales Budget'!E21</f>
        <v>8250000</v>
      </c>
      <c r="F6" s="18">
        <f>'[1]1. Sales Budget'!F21</f>
        <v>1925000</v>
      </c>
      <c r="G6" s="18">
        <f>SUM(C6:F6)</f>
        <v>21175000</v>
      </c>
      <c r="H6" s="9"/>
      <c r="I6" s="17">
        <f>'[1]1. Sales Budget'!I21</f>
        <v>4738466.666666666</v>
      </c>
      <c r="J6" s="17">
        <f>'[1]1. Sales Budget'!J21</f>
        <v>7910000</v>
      </c>
      <c r="K6" s="17">
        <f>'[1]1. Sales Budget'!K21</f>
        <v>10151166.666666666</v>
      </c>
      <c r="L6" s="17">
        <f>'[1]1. Sales Budget'!L21</f>
        <v>2263766.666666666</v>
      </c>
      <c r="M6" s="18">
        <f>SUM(I6:L6)</f>
        <v>25063400</v>
      </c>
      <c r="N6" s="9"/>
    </row>
    <row r="7" spans="2:15" x14ac:dyDescent="0.2">
      <c r="B7" s="12"/>
      <c r="I7" s="17"/>
      <c r="J7" s="17"/>
      <c r="K7" s="17"/>
      <c r="L7" s="17"/>
      <c r="M7" s="18"/>
    </row>
    <row r="8" spans="2:15" x14ac:dyDescent="0.2">
      <c r="B8" s="12" t="s">
        <v>20</v>
      </c>
      <c r="C8" s="10">
        <v>-165000</v>
      </c>
      <c r="D8" s="10">
        <v>-275000</v>
      </c>
      <c r="E8" s="10">
        <v>-330000</v>
      </c>
      <c r="F8" s="10">
        <v>-77000</v>
      </c>
      <c r="G8" s="11">
        <f>SUM(C8:F8)</f>
        <v>-847000</v>
      </c>
      <c r="I8" s="10">
        <f>I$6*I9</f>
        <v>-189538.66666666666</v>
      </c>
      <c r="J8" s="10">
        <f>J$6*J9</f>
        <v>-316400</v>
      </c>
      <c r="K8" s="10">
        <f>K$6*K9</f>
        <v>-406046.66666666663</v>
      </c>
      <c r="L8" s="10">
        <f>L$6*L9</f>
        <v>-90550.666666666642</v>
      </c>
      <c r="M8" s="11">
        <f>SUM(I8:L8)</f>
        <v>-1002535.9999999999</v>
      </c>
      <c r="O8" s="2" t="s">
        <v>25</v>
      </c>
    </row>
    <row r="9" spans="2:15" x14ac:dyDescent="0.2">
      <c r="B9" s="9" t="s">
        <v>16</v>
      </c>
      <c r="C9" s="19">
        <f>C8/C$6</f>
        <v>-0.04</v>
      </c>
      <c r="D9" s="19">
        <f>D8/D$6</f>
        <v>-0.04</v>
      </c>
      <c r="E9" s="19">
        <f>E8/E$6</f>
        <v>-0.04</v>
      </c>
      <c r="F9" s="19">
        <f>F8/F$6</f>
        <v>-0.04</v>
      </c>
      <c r="G9" s="20">
        <f>G8/G$6</f>
        <v>-0.04</v>
      </c>
      <c r="I9" s="21">
        <f>G9</f>
        <v>-0.04</v>
      </c>
      <c r="J9" s="21">
        <f>I9</f>
        <v>-0.04</v>
      </c>
      <c r="K9" s="21">
        <f>J9</f>
        <v>-0.04</v>
      </c>
      <c r="L9" s="21">
        <f>K9</f>
        <v>-0.04</v>
      </c>
      <c r="M9" s="22">
        <f>M8/M6</f>
        <v>-3.9999999999999994E-2</v>
      </c>
    </row>
    <row r="10" spans="2:15" x14ac:dyDescent="0.2">
      <c r="B10" s="9"/>
      <c r="C10" s="19"/>
      <c r="D10" s="19"/>
      <c r="E10" s="19"/>
      <c r="F10" s="19"/>
      <c r="G10" s="20"/>
      <c r="I10" s="21"/>
      <c r="J10" s="21"/>
      <c r="K10" s="21"/>
      <c r="L10" s="21"/>
      <c r="M10" s="22"/>
    </row>
    <row r="11" spans="2:15" x14ac:dyDescent="0.2">
      <c r="B11" s="12" t="s">
        <v>21</v>
      </c>
      <c r="C11" s="10">
        <v>-82500</v>
      </c>
      <c r="D11" s="10">
        <v>-275000</v>
      </c>
      <c r="E11" s="10">
        <v>-330000</v>
      </c>
      <c r="F11" s="10">
        <v>-57750</v>
      </c>
      <c r="G11" s="11">
        <f>SUM(C11:F11)</f>
        <v>-745250</v>
      </c>
      <c r="I11" s="10">
        <f>I$6*I12</f>
        <v>-94769.333333333328</v>
      </c>
      <c r="J11" s="10">
        <f>J$6*J12</f>
        <v>-316400</v>
      </c>
      <c r="K11" s="10">
        <f>K$6*K12</f>
        <v>-406046.66666666663</v>
      </c>
      <c r="L11" s="10">
        <f>L$6*L12</f>
        <v>-67912.999999999985</v>
      </c>
      <c r="M11" s="11">
        <f>SUM(I11:L11)</f>
        <v>-885129</v>
      </c>
      <c r="O11" s="2" t="s">
        <v>25</v>
      </c>
    </row>
    <row r="12" spans="2:15" x14ac:dyDescent="0.2">
      <c r="B12" s="9" t="s">
        <v>16</v>
      </c>
      <c r="C12" s="19">
        <f>C11/C$6</f>
        <v>-0.02</v>
      </c>
      <c r="D12" s="19">
        <f>D11/D$6</f>
        <v>-0.04</v>
      </c>
      <c r="E12" s="19">
        <f>E11/E$6</f>
        <v>-0.04</v>
      </c>
      <c r="F12" s="19">
        <f>F11/F$6</f>
        <v>-0.03</v>
      </c>
      <c r="G12" s="20">
        <f>G11/G$6</f>
        <v>-3.5194805194805195E-2</v>
      </c>
      <c r="I12" s="21">
        <f>C12</f>
        <v>-0.02</v>
      </c>
      <c r="J12" s="21">
        <f>D12</f>
        <v>-0.04</v>
      </c>
      <c r="K12" s="21">
        <f>E12</f>
        <v>-0.04</v>
      </c>
      <c r="L12" s="21">
        <f>F12</f>
        <v>-0.03</v>
      </c>
      <c r="M12" s="20">
        <f>M11/M$6</f>
        <v>-3.5315599639314695E-2</v>
      </c>
    </row>
    <row r="13" spans="2:15" x14ac:dyDescent="0.2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</row>
    <row r="14" spans="2:15" x14ac:dyDescent="0.2">
      <c r="B14" s="12" t="s">
        <v>22</v>
      </c>
      <c r="C14" s="23">
        <f>'[1]4.1 Payroll Budget'!C20</f>
        <v>-280000</v>
      </c>
      <c r="D14" s="23">
        <f>'[1]4.1 Payroll Budget'!D20</f>
        <v>-280000</v>
      </c>
      <c r="E14" s="23">
        <f>'[1]4.1 Payroll Budget'!E20</f>
        <v>-280000</v>
      </c>
      <c r="F14" s="23">
        <f>'[1]4.1 Payroll Budget'!F20</f>
        <v>-280000</v>
      </c>
      <c r="G14" s="11">
        <f>SUM(C14:F14)</f>
        <v>-1120000</v>
      </c>
      <c r="H14" s="9"/>
      <c r="I14" s="23">
        <f>'[1]4.1 Payroll Budget'!I20</f>
        <v>-294000</v>
      </c>
      <c r="J14" s="23">
        <f>'[1]4.1 Payroll Budget'!J20</f>
        <v>-294000</v>
      </c>
      <c r="K14" s="23">
        <f>'[1]4.1 Payroll Budget'!K20</f>
        <v>-294000</v>
      </c>
      <c r="L14" s="23">
        <f>'[1]4.1 Payroll Budget'!L20</f>
        <v>-294000</v>
      </c>
      <c r="M14" s="11">
        <f>SUM(I14:L14)</f>
        <v>-1176000</v>
      </c>
      <c r="N14" s="9"/>
      <c r="O14" s="2" t="s">
        <v>26</v>
      </c>
    </row>
    <row r="15" spans="2:15" x14ac:dyDescent="0.2">
      <c r="B15" s="9" t="s">
        <v>16</v>
      </c>
      <c r="C15" s="19">
        <f>C14/C$6</f>
        <v>-6.7878787878787886E-2</v>
      </c>
      <c r="D15" s="19">
        <f>D14/D$6</f>
        <v>-4.072727272727273E-2</v>
      </c>
      <c r="E15" s="19">
        <f>E14/E$6</f>
        <v>-3.3939393939393943E-2</v>
      </c>
      <c r="F15" s="19">
        <f>F14/F$6</f>
        <v>-0.14545454545454545</v>
      </c>
      <c r="G15" s="20">
        <f>G14/G$6</f>
        <v>-5.2892561983471073E-2</v>
      </c>
      <c r="I15" s="21">
        <f>C15</f>
        <v>-6.7878787878787886E-2</v>
      </c>
      <c r="J15" s="21">
        <f>D15</f>
        <v>-4.072727272727273E-2</v>
      </c>
      <c r="K15" s="21">
        <f>E15</f>
        <v>-3.3939393939393943E-2</v>
      </c>
      <c r="L15" s="21">
        <f>F15</f>
        <v>-0.14545454545454545</v>
      </c>
      <c r="M15" s="20">
        <f>M14/M$6</f>
        <v>-4.6921008322893143E-2</v>
      </c>
      <c r="N15" s="9"/>
    </row>
    <row r="16" spans="2:15" x14ac:dyDescent="0.2"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</row>
    <row r="17" spans="2:18" x14ac:dyDescent="0.2">
      <c r="B17" s="12" t="s">
        <v>23</v>
      </c>
      <c r="C17" s="23">
        <v>-120000</v>
      </c>
      <c r="D17" s="23">
        <v>-120000</v>
      </c>
      <c r="E17" s="23">
        <v>-120000</v>
      </c>
      <c r="F17" s="23">
        <v>-120000</v>
      </c>
      <c r="G17" s="11">
        <f>SUM(C17:F17)</f>
        <v>-480000</v>
      </c>
      <c r="H17" s="9"/>
      <c r="I17" s="23">
        <f>F17</f>
        <v>-120000</v>
      </c>
      <c r="J17" s="23">
        <f>I17</f>
        <v>-120000</v>
      </c>
      <c r="K17" s="23">
        <f>J17</f>
        <v>-120000</v>
      </c>
      <c r="L17" s="23">
        <f>K17</f>
        <v>-120000</v>
      </c>
      <c r="M17" s="11">
        <f>SUM(I17:L17)</f>
        <v>-480000</v>
      </c>
      <c r="N17" s="9"/>
      <c r="O17" s="2" t="s">
        <v>26</v>
      </c>
    </row>
    <row r="18" spans="2:18" x14ac:dyDescent="0.2">
      <c r="B18" s="9" t="s">
        <v>16</v>
      </c>
      <c r="C18" s="19">
        <f>C17/C$6</f>
        <v>-2.9090909090909091E-2</v>
      </c>
      <c r="D18" s="19">
        <f>D17/D$6</f>
        <v>-1.7454545454545455E-2</v>
      </c>
      <c r="E18" s="19">
        <f>E17/E$6</f>
        <v>-1.4545454545454545E-2</v>
      </c>
      <c r="F18" s="19">
        <f>F17/F$6</f>
        <v>-6.2337662337662338E-2</v>
      </c>
      <c r="G18" s="20">
        <f>G17/G$6</f>
        <v>-2.2668240850059033E-2</v>
      </c>
      <c r="I18" s="21">
        <f>C18</f>
        <v>-2.9090909090909091E-2</v>
      </c>
      <c r="J18" s="21">
        <f>D18</f>
        <v>-1.7454545454545455E-2</v>
      </c>
      <c r="K18" s="21">
        <f>E18</f>
        <v>-1.4545454545454545E-2</v>
      </c>
      <c r="L18" s="21">
        <f>F18</f>
        <v>-6.2337662337662338E-2</v>
      </c>
      <c r="M18" s="20">
        <f>M17/M$6</f>
        <v>-1.9151431968527814E-2</v>
      </c>
      <c r="N18" s="9"/>
    </row>
    <row r="19" spans="2:18" ht="12.75" thickBot="1" x14ac:dyDescent="0.25">
      <c r="B19" s="14" t="s">
        <v>18</v>
      </c>
      <c r="C19" s="15">
        <f>C8+C11+C14+C17</f>
        <v>-647500</v>
      </c>
      <c r="D19" s="15">
        <f>D8+D11+D14+D17</f>
        <v>-950000</v>
      </c>
      <c r="E19" s="15">
        <f>E8+E11+E14+E17</f>
        <v>-1060000</v>
      </c>
      <c r="F19" s="15">
        <f>F8+F11+F14+F17</f>
        <v>-534750</v>
      </c>
      <c r="G19" s="15">
        <f>SUM(C19:F19)</f>
        <v>-3192250</v>
      </c>
      <c r="I19" s="15">
        <f>I8+I11+I14+I17</f>
        <v>-698308</v>
      </c>
      <c r="J19" s="15">
        <f>J8+J11+J14+J17</f>
        <v>-1046800</v>
      </c>
      <c r="K19" s="15">
        <f>K8+K11+K14+K17</f>
        <v>-1226093.3333333333</v>
      </c>
      <c r="L19" s="15">
        <f>L8+L11+L14+L17</f>
        <v>-572463.66666666663</v>
      </c>
      <c r="M19" s="12">
        <f>SUM(I19:L19)</f>
        <v>-3543664.9999999995</v>
      </c>
    </row>
    <row r="24" spans="2:18" x14ac:dyDescent="0.2">
      <c r="R24" s="12"/>
    </row>
    <row r="25" spans="2:18" x14ac:dyDescent="0.2">
      <c r="R25" s="12"/>
    </row>
    <row r="26" spans="2:18" x14ac:dyDescent="0.2">
      <c r="R26" s="12"/>
    </row>
    <row r="27" spans="2:18" x14ac:dyDescent="0.2">
      <c r="R27" s="12"/>
    </row>
  </sheetData>
  <autoFilter ref="O4:O18" xr:uid="{AA9BEE60-D9FA-42A1-9459-B3FDF79627D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9FD0-E4F0-4FC8-B2C3-06B4709A4DC8}">
  <sheetPr codeName="Sheet2">
    <tabColor rgb="FF002060"/>
  </sheetPr>
  <dimension ref="B1:S45"/>
  <sheetViews>
    <sheetView showGridLines="0" tabSelected="1" workbookViewId="0">
      <selection activeCell="U22" sqref="U22"/>
    </sheetView>
  </sheetViews>
  <sheetFormatPr defaultRowHeight="12" x14ac:dyDescent="0.2"/>
  <cols>
    <col min="1" max="1" width="2.28515625" style="3" customWidth="1"/>
    <col min="2" max="2" width="23.42578125" style="3" bestFit="1" customWidth="1"/>
    <col min="3" max="4" width="21.5703125" style="3" bestFit="1" customWidth="1"/>
    <col min="5" max="5" width="3.140625" style="3" customWidth="1"/>
    <col min="6" max="6" width="14.28515625" style="3" bestFit="1" customWidth="1"/>
    <col min="7" max="7" width="14.42578125" style="3" bestFit="1" customWidth="1"/>
    <col min="8" max="16384" width="9.140625" style="3"/>
  </cols>
  <sheetData>
    <row r="1" spans="2:7" s="1" customFormat="1" ht="15.75" x14ac:dyDescent="0.25">
      <c r="B1" s="1" t="s">
        <v>30</v>
      </c>
    </row>
    <row r="3" spans="2:7" x14ac:dyDescent="0.2">
      <c r="B3" s="12" t="s">
        <v>24</v>
      </c>
      <c r="C3" s="12" t="s">
        <v>34</v>
      </c>
      <c r="D3" s="28" t="s">
        <v>24</v>
      </c>
      <c r="E3" s="12"/>
      <c r="F3" s="12" t="s">
        <v>30</v>
      </c>
      <c r="G3" s="12" t="s">
        <v>30</v>
      </c>
    </row>
    <row r="4" spans="2:7" ht="12.75" thickBot="1" x14ac:dyDescent="0.25">
      <c r="B4" s="4"/>
      <c r="C4" s="29">
        <v>1330800</v>
      </c>
      <c r="D4" s="4" t="s">
        <v>33</v>
      </c>
      <c r="E4" s="2"/>
      <c r="F4" s="29">
        <v>1400000</v>
      </c>
      <c r="G4" s="29">
        <v>1500000</v>
      </c>
    </row>
    <row r="5" spans="2:7" x14ac:dyDescent="0.2">
      <c r="B5" s="6" t="s">
        <v>31</v>
      </c>
      <c r="C5" s="30">
        <f>INDEX('4. SG&amp;A Budget'!$B$4:$M$18,MATCH($B$5,'4. SG&amp;A Budget'!$B$4:$B$18,0),MATCH("Forecast",'4. SG&amp;A Budget'!$B$4:$M$4,0))</f>
        <v>25063400</v>
      </c>
      <c r="D5" s="34">
        <f>C5/$C$4</f>
        <v>18.833333333333332</v>
      </c>
      <c r="F5" s="30">
        <f>$D$5*F4</f>
        <v>26366666.666666664</v>
      </c>
      <c r="G5" s="30">
        <f>$D$5*G4</f>
        <v>28250000</v>
      </c>
    </row>
    <row r="6" spans="2:7" x14ac:dyDescent="0.2">
      <c r="B6" s="25" t="s">
        <v>35</v>
      </c>
      <c r="C6" s="25"/>
      <c r="D6" s="34"/>
    </row>
    <row r="7" spans="2:7" x14ac:dyDescent="0.2">
      <c r="B7" s="27" t="s">
        <v>8</v>
      </c>
      <c r="C7" s="26">
        <f>INDEX('3. Cost of Goods Sold Budget'!$B$4:$M$12,MATCH($B7,'3. Cost of Goods Sold Budget'!$B$4:$B$12,0),MATCH("Forecast",'3. Cost of Goods Sold Budget'!$B$4:$M$4,0))</f>
        <v>-1668904.4399999997</v>
      </c>
      <c r="D7" s="34">
        <f t="shared" ref="D7:D11" si="0">C7/$C$4</f>
        <v>-1.2540610459873758</v>
      </c>
      <c r="F7" s="26">
        <f>F$4*$D7</f>
        <v>-1755685.464382326</v>
      </c>
      <c r="G7" s="26">
        <f>G$4*$D7</f>
        <v>-1881091.5689810636</v>
      </c>
    </row>
    <row r="8" spans="2:7" x14ac:dyDescent="0.2">
      <c r="B8" s="27" t="s">
        <v>9</v>
      </c>
      <c r="C8" s="26">
        <f>INDEX('3. Cost of Goods Sold Budget'!$B$4:$M$12,MATCH($B8,'3. Cost of Goods Sold Budget'!$B$4:$B$12,0),MATCH("Forecast",'3. Cost of Goods Sold Budget'!$B$4:$M$4,0))</f>
        <v>-4806328.1257142844</v>
      </c>
      <c r="D8" s="34">
        <f t="shared" si="0"/>
        <v>-3.611608149770277</v>
      </c>
      <c r="F8" s="26">
        <f t="shared" ref="F8:G13" si="1">F$4*$D8</f>
        <v>-5056251.4096783875</v>
      </c>
      <c r="G8" s="26">
        <f t="shared" si="1"/>
        <v>-5417412.2246554159</v>
      </c>
    </row>
    <row r="9" spans="2:7" x14ac:dyDescent="0.2">
      <c r="B9" s="27" t="s">
        <v>20</v>
      </c>
      <c r="C9" s="26">
        <f>INDEX('4. SG&amp;A Budget'!$B$4:$M$18,MATCH($B9,'4. SG&amp;A Budget'!$B$4:$B$18,0),MATCH("Forecast",'4. SG&amp;A Budget'!$B$4:$M$4,0))</f>
        <v>-1002535.9999999999</v>
      </c>
      <c r="D9" s="34">
        <f t="shared" si="0"/>
        <v>-0.7533333333333333</v>
      </c>
      <c r="F9" s="26">
        <f t="shared" si="1"/>
        <v>-1054666.6666666665</v>
      </c>
      <c r="G9" s="26">
        <f t="shared" si="1"/>
        <v>-1130000</v>
      </c>
    </row>
    <row r="10" spans="2:7" x14ac:dyDescent="0.2">
      <c r="B10" s="27" t="s">
        <v>21</v>
      </c>
      <c r="C10" s="26">
        <f>INDEX('4. SG&amp;A Budget'!$B$4:$M$18,MATCH($B10,'4. SG&amp;A Budget'!$B$4:$B$18,0),MATCH("Forecast",'4. SG&amp;A Budget'!$B$4:$M$4,0))</f>
        <v>-885129</v>
      </c>
      <c r="D10" s="34">
        <f t="shared" si="0"/>
        <v>-0.66511045987376016</v>
      </c>
      <c r="F10" s="26">
        <f t="shared" si="1"/>
        <v>-931154.64382326428</v>
      </c>
      <c r="G10" s="26">
        <f t="shared" si="1"/>
        <v>-997665.6898106403</v>
      </c>
    </row>
    <row r="11" spans="2:7" x14ac:dyDescent="0.2">
      <c r="B11" s="27" t="s">
        <v>12</v>
      </c>
      <c r="C11" s="26">
        <f>'3. Cost of Goods Sold Budget'!M11</f>
        <v>-200263.6719047619</v>
      </c>
      <c r="D11" s="34">
        <f t="shared" si="0"/>
        <v>-0.15048367290709491</v>
      </c>
      <c r="F11" s="26">
        <f t="shared" si="1"/>
        <v>-210677.14206993289</v>
      </c>
      <c r="G11" s="26">
        <f t="shared" si="1"/>
        <v>-225725.50936064238</v>
      </c>
    </row>
    <row r="12" spans="2:7" s="9" customFormat="1" x14ac:dyDescent="0.2">
      <c r="B12" s="32" t="s">
        <v>37</v>
      </c>
      <c r="C12" s="31">
        <f>SUM(C7:C11)</f>
        <v>-8563161.2376190461</v>
      </c>
      <c r="D12" s="36">
        <f>SUM(D7:D11)</f>
        <v>-6.43459666187184</v>
      </c>
      <c r="F12" s="31">
        <f t="shared" si="1"/>
        <v>-9008435.3266205769</v>
      </c>
      <c r="G12" s="31">
        <f t="shared" si="1"/>
        <v>-9651894.9928077608</v>
      </c>
    </row>
    <row r="13" spans="2:7" s="9" customFormat="1" x14ac:dyDescent="0.2">
      <c r="B13" s="12" t="s">
        <v>38</v>
      </c>
      <c r="C13" s="33">
        <f>C5+C12</f>
        <v>16500238.762380954</v>
      </c>
      <c r="D13" s="35">
        <f>D5+D12</f>
        <v>12.398736671461492</v>
      </c>
      <c r="F13" s="33">
        <f t="shared" si="1"/>
        <v>17358231.340046089</v>
      </c>
      <c r="G13" s="33">
        <f t="shared" si="1"/>
        <v>18598105.007192239</v>
      </c>
    </row>
    <row r="14" spans="2:7" s="9" customFormat="1" x14ac:dyDescent="0.2">
      <c r="B14" s="9" t="s">
        <v>11</v>
      </c>
      <c r="C14" s="23">
        <f>'3. Cost of Goods Sold Budget'!M10</f>
        <v>-480000</v>
      </c>
      <c r="F14" s="23">
        <f>$C14</f>
        <v>-480000</v>
      </c>
      <c r="G14" s="23">
        <f>$C14</f>
        <v>-480000</v>
      </c>
    </row>
    <row r="15" spans="2:7" s="9" customFormat="1" x14ac:dyDescent="0.2">
      <c r="B15" s="9" t="s">
        <v>39</v>
      </c>
      <c r="C15" s="23">
        <f>'3. Cost of Goods Sold Budget'!M12</f>
        <v>-704900.2889193783</v>
      </c>
      <c r="F15" s="23">
        <f t="shared" ref="F15:G17" si="2">$C15</f>
        <v>-704900.2889193783</v>
      </c>
      <c r="G15" s="23">
        <f t="shared" si="2"/>
        <v>-704900.2889193783</v>
      </c>
    </row>
    <row r="16" spans="2:7" s="9" customFormat="1" x14ac:dyDescent="0.2">
      <c r="B16" s="9" t="s">
        <v>40</v>
      </c>
      <c r="C16" s="23">
        <f>'4. SG&amp;A Budget'!M14</f>
        <v>-1176000</v>
      </c>
      <c r="F16" s="23">
        <f t="shared" si="2"/>
        <v>-1176000</v>
      </c>
      <c r="G16" s="23">
        <f t="shared" si="2"/>
        <v>-1176000</v>
      </c>
    </row>
    <row r="17" spans="2:19" s="9" customFormat="1" x14ac:dyDescent="0.2">
      <c r="B17" s="9" t="s">
        <v>41</v>
      </c>
      <c r="C17" s="23">
        <f>'4. SG&amp;A Budget'!M17</f>
        <v>-480000</v>
      </c>
      <c r="F17" s="23">
        <f t="shared" si="2"/>
        <v>-480000</v>
      </c>
      <c r="G17" s="23">
        <f t="shared" si="2"/>
        <v>-480000</v>
      </c>
    </row>
    <row r="18" spans="2:19" s="9" customFormat="1" x14ac:dyDescent="0.2">
      <c r="B18" s="32" t="s">
        <v>42</v>
      </c>
      <c r="C18" s="31">
        <f>SUM(C14:C17)</f>
        <v>-2840900.2889193781</v>
      </c>
      <c r="F18" s="31">
        <f>SUM(F14:F17)</f>
        <v>-2840900.2889193781</v>
      </c>
      <c r="G18" s="31">
        <f>SUM(G14:G17)</f>
        <v>-2840900.2889193781</v>
      </c>
    </row>
    <row r="19" spans="2:19" s="9" customFormat="1" x14ac:dyDescent="0.2">
      <c r="B19" s="12" t="s">
        <v>43</v>
      </c>
      <c r="C19" s="33">
        <f>C13+C18</f>
        <v>13659338.473461576</v>
      </c>
      <c r="F19" s="33">
        <f>F13+F18</f>
        <v>14517331.051126711</v>
      </c>
      <c r="G19" s="33">
        <f>G13+G18</f>
        <v>15757204.718272861</v>
      </c>
      <c r="S19" s="12"/>
    </row>
    <row r="21" spans="2:19" s="13" customFormat="1" ht="12.75" thickBot="1" x14ac:dyDescent="0.25">
      <c r="B21" s="38" t="s">
        <v>44</v>
      </c>
      <c r="C21" s="38" t="s">
        <v>45</v>
      </c>
      <c r="D21" s="38" t="s">
        <v>35</v>
      </c>
      <c r="E21" s="38"/>
      <c r="F21" s="38" t="s">
        <v>46</v>
      </c>
      <c r="G21" s="38" t="s">
        <v>47</v>
      </c>
    </row>
    <row r="22" spans="2:19" s="13" customFormat="1" x14ac:dyDescent="0.2">
      <c r="B22" s="13">
        <v>0</v>
      </c>
      <c r="C22" s="39">
        <f>-$C$18</f>
        <v>2840900.2889193781</v>
      </c>
      <c r="D22" s="39">
        <f>-$D$12*B22</f>
        <v>0</v>
      </c>
      <c r="E22" s="39"/>
      <c r="F22" s="39">
        <f>C22+D22</f>
        <v>2840900.2889193781</v>
      </c>
      <c r="G22" s="39">
        <f>$D$5*B22</f>
        <v>0</v>
      </c>
    </row>
    <row r="23" spans="2:19" s="13" customFormat="1" x14ac:dyDescent="0.2">
      <c r="B23" s="37">
        <v>100000</v>
      </c>
      <c r="C23" s="39">
        <f t="shared" ref="C23:C43" si="3">-$C$18</f>
        <v>2840900.2889193781</v>
      </c>
      <c r="D23" s="39">
        <f t="shared" ref="D23:D43" si="4">-$D$12*B23</f>
        <v>643459.66618718405</v>
      </c>
      <c r="E23" s="39"/>
      <c r="F23" s="39">
        <f t="shared" ref="F23:F43" si="5">C23+D23</f>
        <v>3484359.955106562</v>
      </c>
      <c r="G23" s="39">
        <f t="shared" ref="G23:G43" si="6">$D$5*B23</f>
        <v>1883333.3333333333</v>
      </c>
    </row>
    <row r="24" spans="2:19" s="13" customFormat="1" x14ac:dyDescent="0.2">
      <c r="B24" s="37">
        <v>200000</v>
      </c>
      <c r="C24" s="39">
        <f t="shared" si="3"/>
        <v>2840900.2889193781</v>
      </c>
      <c r="D24" s="39">
        <f t="shared" si="4"/>
        <v>1286919.3323743681</v>
      </c>
      <c r="E24" s="39"/>
      <c r="F24" s="39">
        <f t="shared" si="5"/>
        <v>4127819.6212937459</v>
      </c>
      <c r="G24" s="39">
        <f t="shared" si="6"/>
        <v>3766666.6666666665</v>
      </c>
    </row>
    <row r="25" spans="2:19" s="13" customFormat="1" x14ac:dyDescent="0.2">
      <c r="B25" s="37">
        <v>300000</v>
      </c>
      <c r="C25" s="39">
        <f t="shared" si="3"/>
        <v>2840900.2889193781</v>
      </c>
      <c r="D25" s="39">
        <f t="shared" si="4"/>
        <v>1930378.998561552</v>
      </c>
      <c r="E25" s="39"/>
      <c r="F25" s="39">
        <f t="shared" si="5"/>
        <v>4771279.2874809299</v>
      </c>
      <c r="G25" s="39">
        <f t="shared" si="6"/>
        <v>5650000</v>
      </c>
    </row>
    <row r="26" spans="2:19" s="13" customFormat="1" x14ac:dyDescent="0.2">
      <c r="B26" s="37">
        <v>400000</v>
      </c>
      <c r="C26" s="39">
        <f t="shared" si="3"/>
        <v>2840900.2889193781</v>
      </c>
      <c r="D26" s="39">
        <f t="shared" si="4"/>
        <v>2573838.6647487362</v>
      </c>
      <c r="E26" s="39"/>
      <c r="F26" s="39">
        <f t="shared" si="5"/>
        <v>5414738.9536681138</v>
      </c>
      <c r="G26" s="39">
        <f t="shared" si="6"/>
        <v>7533333.333333333</v>
      </c>
    </row>
    <row r="27" spans="2:19" s="13" customFormat="1" x14ac:dyDescent="0.2">
      <c r="B27" s="37">
        <v>500000</v>
      </c>
      <c r="C27" s="39">
        <f t="shared" si="3"/>
        <v>2840900.2889193781</v>
      </c>
      <c r="D27" s="39">
        <f t="shared" si="4"/>
        <v>3217298.3309359201</v>
      </c>
      <c r="E27" s="39"/>
      <c r="F27" s="39">
        <f t="shared" si="5"/>
        <v>6058198.6198552977</v>
      </c>
      <c r="G27" s="39">
        <f t="shared" si="6"/>
        <v>9416666.666666666</v>
      </c>
    </row>
    <row r="28" spans="2:19" s="13" customFormat="1" x14ac:dyDescent="0.2">
      <c r="B28" s="37">
        <v>600000</v>
      </c>
      <c r="C28" s="39">
        <f t="shared" si="3"/>
        <v>2840900.2889193781</v>
      </c>
      <c r="D28" s="39">
        <f t="shared" si="4"/>
        <v>3860757.9971231041</v>
      </c>
      <c r="E28" s="39"/>
      <c r="F28" s="39">
        <f t="shared" si="5"/>
        <v>6701658.2860424817</v>
      </c>
      <c r="G28" s="39">
        <f t="shared" si="6"/>
        <v>11300000</v>
      </c>
    </row>
    <row r="29" spans="2:19" s="13" customFormat="1" x14ac:dyDescent="0.2">
      <c r="B29" s="37">
        <v>700000</v>
      </c>
      <c r="C29" s="39">
        <f t="shared" si="3"/>
        <v>2840900.2889193781</v>
      </c>
      <c r="D29" s="39">
        <f t="shared" si="4"/>
        <v>4504217.6633102885</v>
      </c>
      <c r="E29" s="39"/>
      <c r="F29" s="39">
        <f t="shared" si="5"/>
        <v>7345117.9522296665</v>
      </c>
      <c r="G29" s="39">
        <f t="shared" si="6"/>
        <v>13183333.333333332</v>
      </c>
    </row>
    <row r="30" spans="2:19" s="13" customFormat="1" x14ac:dyDescent="0.2">
      <c r="B30" s="37">
        <v>800000</v>
      </c>
      <c r="C30" s="39">
        <f t="shared" si="3"/>
        <v>2840900.2889193781</v>
      </c>
      <c r="D30" s="39">
        <f t="shared" si="4"/>
        <v>5147677.3294974724</v>
      </c>
      <c r="E30" s="39"/>
      <c r="F30" s="39">
        <f t="shared" si="5"/>
        <v>7988577.6184168505</v>
      </c>
      <c r="G30" s="39">
        <f t="shared" si="6"/>
        <v>15066666.666666666</v>
      </c>
    </row>
    <row r="31" spans="2:19" s="13" customFormat="1" x14ac:dyDescent="0.2">
      <c r="B31" s="37">
        <v>900000</v>
      </c>
      <c r="C31" s="39">
        <f t="shared" si="3"/>
        <v>2840900.2889193781</v>
      </c>
      <c r="D31" s="39">
        <f t="shared" si="4"/>
        <v>5791136.9956846563</v>
      </c>
      <c r="E31" s="39"/>
      <c r="F31" s="39">
        <f t="shared" si="5"/>
        <v>8632037.2846040353</v>
      </c>
      <c r="G31" s="39">
        <f t="shared" si="6"/>
        <v>16950000</v>
      </c>
    </row>
    <row r="32" spans="2:19" s="13" customFormat="1" x14ac:dyDescent="0.2">
      <c r="B32" s="37">
        <v>1000000</v>
      </c>
      <c r="C32" s="39">
        <f t="shared" si="3"/>
        <v>2840900.2889193781</v>
      </c>
      <c r="D32" s="39">
        <f t="shared" si="4"/>
        <v>6434596.6618718402</v>
      </c>
      <c r="E32" s="39"/>
      <c r="F32" s="39">
        <f t="shared" si="5"/>
        <v>9275496.9507912174</v>
      </c>
      <c r="G32" s="39">
        <f t="shared" si="6"/>
        <v>18833333.333333332</v>
      </c>
    </row>
    <row r="33" spans="2:7" s="13" customFormat="1" x14ac:dyDescent="0.2">
      <c r="B33" s="37">
        <v>1100000</v>
      </c>
      <c r="C33" s="39">
        <f t="shared" si="3"/>
        <v>2840900.2889193781</v>
      </c>
      <c r="D33" s="39">
        <f t="shared" si="4"/>
        <v>7078056.3280590242</v>
      </c>
      <c r="E33" s="39"/>
      <c r="F33" s="39">
        <f t="shared" si="5"/>
        <v>9918956.6169784032</v>
      </c>
      <c r="G33" s="39">
        <f t="shared" si="6"/>
        <v>20716666.666666664</v>
      </c>
    </row>
    <row r="34" spans="2:7" s="13" customFormat="1" x14ac:dyDescent="0.2">
      <c r="B34" s="37">
        <v>1200000</v>
      </c>
      <c r="C34" s="39">
        <f t="shared" si="3"/>
        <v>2840900.2889193781</v>
      </c>
      <c r="D34" s="39">
        <f t="shared" si="4"/>
        <v>7721515.9942462081</v>
      </c>
      <c r="E34" s="39"/>
      <c r="F34" s="39">
        <f t="shared" si="5"/>
        <v>10562416.283165585</v>
      </c>
      <c r="G34" s="39">
        <f t="shared" si="6"/>
        <v>22600000</v>
      </c>
    </row>
    <row r="35" spans="2:7" s="13" customFormat="1" x14ac:dyDescent="0.2">
      <c r="B35" s="37">
        <v>1300000</v>
      </c>
      <c r="C35" s="39">
        <f t="shared" si="3"/>
        <v>2840900.2889193781</v>
      </c>
      <c r="D35" s="39">
        <f t="shared" si="4"/>
        <v>8364975.660433392</v>
      </c>
      <c r="E35" s="39"/>
      <c r="F35" s="39">
        <f t="shared" si="5"/>
        <v>11205875.949352771</v>
      </c>
      <c r="G35" s="39">
        <f t="shared" si="6"/>
        <v>24483333.333333332</v>
      </c>
    </row>
    <row r="36" spans="2:7" s="13" customFormat="1" x14ac:dyDescent="0.2">
      <c r="B36" s="37">
        <v>1400000</v>
      </c>
      <c r="C36" s="39">
        <f t="shared" si="3"/>
        <v>2840900.2889193781</v>
      </c>
      <c r="D36" s="39">
        <f t="shared" si="4"/>
        <v>9008435.3266205769</v>
      </c>
      <c r="E36" s="39"/>
      <c r="F36" s="39">
        <f t="shared" si="5"/>
        <v>11849335.615539955</v>
      </c>
      <c r="G36" s="39">
        <f t="shared" si="6"/>
        <v>26366666.666666664</v>
      </c>
    </row>
    <row r="37" spans="2:7" s="13" customFormat="1" x14ac:dyDescent="0.2">
      <c r="B37" s="37">
        <v>1500000</v>
      </c>
      <c r="C37" s="39">
        <f t="shared" si="3"/>
        <v>2840900.2889193781</v>
      </c>
      <c r="D37" s="39">
        <f t="shared" si="4"/>
        <v>9651894.9928077608</v>
      </c>
      <c r="E37" s="39"/>
      <c r="F37" s="39">
        <f t="shared" si="5"/>
        <v>12492795.281727139</v>
      </c>
      <c r="G37" s="39">
        <f t="shared" si="6"/>
        <v>28250000</v>
      </c>
    </row>
    <row r="38" spans="2:7" s="13" customFormat="1" x14ac:dyDescent="0.2">
      <c r="B38" s="37">
        <v>1600000</v>
      </c>
      <c r="C38" s="39">
        <f t="shared" si="3"/>
        <v>2840900.2889193781</v>
      </c>
      <c r="D38" s="39">
        <f t="shared" si="4"/>
        <v>10295354.658994945</v>
      </c>
      <c r="E38" s="39"/>
      <c r="F38" s="39">
        <f t="shared" si="5"/>
        <v>13136254.947914323</v>
      </c>
      <c r="G38" s="39">
        <f t="shared" si="6"/>
        <v>30133333.333333332</v>
      </c>
    </row>
    <row r="39" spans="2:7" s="13" customFormat="1" x14ac:dyDescent="0.2">
      <c r="B39" s="37">
        <v>1700000</v>
      </c>
      <c r="C39" s="39">
        <f t="shared" si="3"/>
        <v>2840900.2889193781</v>
      </c>
      <c r="D39" s="39">
        <f t="shared" si="4"/>
        <v>10938814.325182129</v>
      </c>
      <c r="E39" s="39"/>
      <c r="F39" s="39">
        <f t="shared" si="5"/>
        <v>13779714.614101507</v>
      </c>
      <c r="G39" s="39">
        <f t="shared" si="6"/>
        <v>32016666.666666664</v>
      </c>
    </row>
    <row r="40" spans="2:7" s="13" customFormat="1" x14ac:dyDescent="0.2">
      <c r="B40" s="37">
        <v>1800000</v>
      </c>
      <c r="C40" s="39">
        <f t="shared" si="3"/>
        <v>2840900.2889193781</v>
      </c>
      <c r="D40" s="39">
        <f t="shared" si="4"/>
        <v>11582273.991369313</v>
      </c>
      <c r="E40" s="39"/>
      <c r="F40" s="39">
        <f t="shared" si="5"/>
        <v>14423174.280288691</v>
      </c>
      <c r="G40" s="39">
        <f t="shared" si="6"/>
        <v>33900000</v>
      </c>
    </row>
    <row r="41" spans="2:7" s="13" customFormat="1" x14ac:dyDescent="0.2">
      <c r="B41" s="37">
        <v>1900000</v>
      </c>
      <c r="C41" s="39">
        <f t="shared" si="3"/>
        <v>2840900.2889193781</v>
      </c>
      <c r="D41" s="39">
        <f t="shared" si="4"/>
        <v>12225733.657556497</v>
      </c>
      <c r="E41" s="39"/>
      <c r="F41" s="39">
        <f t="shared" si="5"/>
        <v>15066633.946475875</v>
      </c>
      <c r="G41" s="39">
        <f t="shared" si="6"/>
        <v>35783333.333333328</v>
      </c>
    </row>
    <row r="42" spans="2:7" s="13" customFormat="1" x14ac:dyDescent="0.2">
      <c r="B42" s="37">
        <v>2000000</v>
      </c>
      <c r="C42" s="39">
        <f t="shared" si="3"/>
        <v>2840900.2889193781</v>
      </c>
      <c r="D42" s="39">
        <f t="shared" si="4"/>
        <v>12869193.32374368</v>
      </c>
      <c r="E42" s="39"/>
      <c r="F42" s="39">
        <f t="shared" si="5"/>
        <v>15710093.612663059</v>
      </c>
      <c r="G42" s="39">
        <f t="shared" si="6"/>
        <v>37666666.666666664</v>
      </c>
    </row>
    <row r="43" spans="2:7" s="13" customFormat="1" x14ac:dyDescent="0.2">
      <c r="B43" s="37">
        <v>2100000</v>
      </c>
      <c r="C43" s="39">
        <f t="shared" si="3"/>
        <v>2840900.2889193781</v>
      </c>
      <c r="D43" s="39">
        <f t="shared" si="4"/>
        <v>13512652.989930864</v>
      </c>
      <c r="E43" s="39"/>
      <c r="F43" s="39">
        <f t="shared" si="5"/>
        <v>16353553.278850242</v>
      </c>
      <c r="G43" s="39">
        <f t="shared" si="6"/>
        <v>39550000</v>
      </c>
    </row>
    <row r="45" spans="2:7" x14ac:dyDescent="0.2">
      <c r="B45" s="12" t="s">
        <v>48</v>
      </c>
      <c r="C45" s="40">
        <f>C22/D13</f>
        <v>229128.20589684392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883BC-43C3-47DC-94E4-28522AB9BF11}">
  <sheetPr codeName="Sheet3">
    <tabColor rgb="FF002060"/>
  </sheetPr>
  <dimension ref="B1:L62"/>
  <sheetViews>
    <sheetView showGridLines="0" workbookViewId="0">
      <selection activeCell="J46" sqref="J46"/>
    </sheetView>
  </sheetViews>
  <sheetFormatPr defaultRowHeight="12" x14ac:dyDescent="0.2"/>
  <cols>
    <col min="1" max="1" width="2.28515625" style="3" customWidth="1"/>
    <col min="2" max="2" width="29.28515625" style="3" bestFit="1" customWidth="1"/>
    <col min="3" max="4" width="15.7109375" style="3" customWidth="1"/>
    <col min="5" max="5" width="15.7109375" style="52" customWidth="1"/>
    <col min="6" max="6" width="2.28515625" style="3" customWidth="1"/>
    <col min="7" max="7" width="29.28515625" style="3" customWidth="1"/>
    <col min="8" max="10" width="15.7109375" style="3" customWidth="1"/>
    <col min="11" max="11" width="2.28515625" style="3" customWidth="1"/>
    <col min="12" max="16384" width="9.140625" style="3"/>
  </cols>
  <sheetData>
    <row r="1" spans="2:8" s="1" customFormat="1" ht="15.75" x14ac:dyDescent="0.25">
      <c r="B1" s="1" t="s">
        <v>49</v>
      </c>
      <c r="E1" s="51"/>
    </row>
    <row r="3" spans="2:8" ht="12.75" thickBot="1" x14ac:dyDescent="0.25">
      <c r="B3" s="12" t="s">
        <v>50</v>
      </c>
      <c r="C3" s="72">
        <v>0.8</v>
      </c>
      <c r="D3" s="73" t="s">
        <v>56</v>
      </c>
    </row>
    <row r="4" spans="2:8" ht="12.75" thickBot="1" x14ac:dyDescent="0.25">
      <c r="B4" s="4"/>
      <c r="C4" s="41" t="s">
        <v>44</v>
      </c>
      <c r="D4" s="61" t="s">
        <v>51</v>
      </c>
      <c r="E4" s="53" t="s">
        <v>52</v>
      </c>
    </row>
    <row r="5" spans="2:8" x14ac:dyDescent="0.2">
      <c r="B5" s="27" t="s">
        <v>8</v>
      </c>
      <c r="C5" s="42">
        <v>30</v>
      </c>
      <c r="D5" s="62">
        <v>4</v>
      </c>
      <c r="E5" s="54">
        <f>C5*D5</f>
        <v>120</v>
      </c>
    </row>
    <row r="6" spans="2:8" x14ac:dyDescent="0.2">
      <c r="B6" s="27" t="s">
        <v>9</v>
      </c>
      <c r="C6" s="43">
        <v>5</v>
      </c>
      <c r="D6" s="62">
        <v>14</v>
      </c>
      <c r="E6" s="54">
        <f t="shared" ref="E6:E8" si="0">C6*D6</f>
        <v>70</v>
      </c>
    </row>
    <row r="7" spans="2:8" x14ac:dyDescent="0.2">
      <c r="B7" s="27" t="s">
        <v>53</v>
      </c>
      <c r="C7" s="43">
        <v>5</v>
      </c>
      <c r="D7" s="62">
        <f>$C$16/$C$15</f>
        <v>8</v>
      </c>
      <c r="E7" s="54">
        <f t="shared" si="0"/>
        <v>40</v>
      </c>
    </row>
    <row r="8" spans="2:8" x14ac:dyDescent="0.2">
      <c r="B8" s="45" t="s">
        <v>54</v>
      </c>
      <c r="C8" s="46">
        <v>5</v>
      </c>
      <c r="D8" s="63">
        <f>D17/D15</f>
        <v>9.9999999999999982</v>
      </c>
      <c r="E8" s="55">
        <f t="shared" si="0"/>
        <v>49.999999999999993</v>
      </c>
    </row>
    <row r="9" spans="2:8" s="13" customFormat="1" ht="12.75" thickBot="1" x14ac:dyDescent="0.25">
      <c r="B9" s="38" t="s">
        <v>55</v>
      </c>
      <c r="C9" s="38"/>
      <c r="D9" s="64"/>
      <c r="E9" s="56"/>
    </row>
    <row r="10" spans="2:8" x14ac:dyDescent="0.2">
      <c r="D10" s="65"/>
    </row>
    <row r="11" spans="2:8" x14ac:dyDescent="0.2">
      <c r="D11" s="65"/>
    </row>
    <row r="12" spans="2:8" x14ac:dyDescent="0.2">
      <c r="B12" s="12" t="s">
        <v>30</v>
      </c>
      <c r="C12" s="12"/>
      <c r="D12" s="66"/>
      <c r="G12" s="12" t="s">
        <v>59</v>
      </c>
      <c r="H12" s="48"/>
    </row>
    <row r="13" spans="2:8" x14ac:dyDescent="0.2">
      <c r="B13" s="9" t="s">
        <v>56</v>
      </c>
      <c r="C13" s="49">
        <v>0.7</v>
      </c>
      <c r="D13" s="67">
        <v>0.8</v>
      </c>
      <c r="E13" s="57">
        <v>0.9</v>
      </c>
      <c r="G13" s="57">
        <v>0.9</v>
      </c>
    </row>
    <row r="14" spans="2:8" x14ac:dyDescent="0.2">
      <c r="B14" s="9" t="s">
        <v>57</v>
      </c>
      <c r="C14" s="50">
        <v>42000</v>
      </c>
      <c r="D14" s="68">
        <f>D13*$C$14/$C$13</f>
        <v>48000</v>
      </c>
      <c r="E14" s="58">
        <f>E13*$C$14/$C$13</f>
        <v>54000</v>
      </c>
      <c r="G14" s="58">
        <f>G13*$C$14/$C$13</f>
        <v>54000</v>
      </c>
    </row>
    <row r="15" spans="2:8" x14ac:dyDescent="0.2">
      <c r="B15" s="27" t="s">
        <v>58</v>
      </c>
      <c r="C15" s="43">
        <v>210000</v>
      </c>
      <c r="D15" s="69">
        <f>D13*$C$15/$C$13</f>
        <v>240000.00000000003</v>
      </c>
      <c r="E15" s="43">
        <f>E13*$C$15/$C$13</f>
        <v>270000</v>
      </c>
      <c r="G15" s="43">
        <v>265000</v>
      </c>
    </row>
    <row r="16" spans="2:8" x14ac:dyDescent="0.2">
      <c r="B16" s="27" t="s">
        <v>53</v>
      </c>
      <c r="C16" s="60">
        <v>1680000</v>
      </c>
      <c r="D16" s="62">
        <f>$D$7*D15</f>
        <v>1920000.0000000002</v>
      </c>
      <c r="E16" s="44">
        <f>$D$7*E15</f>
        <v>2160000</v>
      </c>
    </row>
    <row r="17" spans="2:12" ht="12.75" thickBot="1" x14ac:dyDescent="0.25">
      <c r="B17" s="45" t="s">
        <v>54</v>
      </c>
      <c r="C17" s="59">
        <v>2400000</v>
      </c>
      <c r="D17" s="70">
        <f>$C$17</f>
        <v>2400000</v>
      </c>
      <c r="E17" s="47">
        <f>$C$17</f>
        <v>2400000</v>
      </c>
    </row>
    <row r="20" spans="2:12" x14ac:dyDescent="0.2">
      <c r="B20" s="12" t="s">
        <v>60</v>
      </c>
      <c r="C20" s="72">
        <v>0.9</v>
      </c>
      <c r="D20" s="73" t="s">
        <v>56</v>
      </c>
      <c r="G20" s="12" t="s">
        <v>61</v>
      </c>
      <c r="H20" s="72">
        <v>0.9</v>
      </c>
      <c r="I20" s="73" t="s">
        <v>56</v>
      </c>
      <c r="J20" s="52"/>
    </row>
    <row r="21" spans="2:12" ht="12.75" thickBot="1" x14ac:dyDescent="0.25">
      <c r="B21" s="4"/>
      <c r="C21" s="41" t="s">
        <v>44</v>
      </c>
      <c r="D21" s="41" t="s">
        <v>51</v>
      </c>
      <c r="E21" s="53" t="s">
        <v>52</v>
      </c>
      <c r="G21" s="4"/>
      <c r="H21" s="41" t="s">
        <v>44</v>
      </c>
      <c r="I21" s="41" t="s">
        <v>51</v>
      </c>
      <c r="J21" s="53" t="s">
        <v>52</v>
      </c>
      <c r="L21" s="53" t="s">
        <v>62</v>
      </c>
    </row>
    <row r="22" spans="2:12" x14ac:dyDescent="0.2">
      <c r="B22" s="27" t="s">
        <v>8</v>
      </c>
      <c r="C22" s="42">
        <f>E14*$C$5</f>
        <v>1620000</v>
      </c>
      <c r="D22" s="71">
        <v>4</v>
      </c>
      <c r="E22" s="54">
        <f>C22*D22</f>
        <v>6480000</v>
      </c>
      <c r="G22" s="27" t="s">
        <v>8</v>
      </c>
      <c r="H22" s="42">
        <v>1615000</v>
      </c>
      <c r="I22" s="75">
        <v>4.0999999999999996</v>
      </c>
      <c r="J22" s="54">
        <f>H22*I22</f>
        <v>6621499.9999999991</v>
      </c>
      <c r="L22" s="54">
        <f>J22-E22</f>
        <v>141499.99999999907</v>
      </c>
    </row>
    <row r="23" spans="2:12" x14ac:dyDescent="0.2">
      <c r="B23" s="27" t="s">
        <v>9</v>
      </c>
      <c r="C23" s="43">
        <f>E15</f>
        <v>270000</v>
      </c>
      <c r="D23" s="71">
        <v>14</v>
      </c>
      <c r="E23" s="54">
        <f t="shared" ref="E23:E25" si="1">C23*D23</f>
        <v>3780000</v>
      </c>
      <c r="G23" s="27" t="s">
        <v>9</v>
      </c>
      <c r="H23" s="43">
        <v>265000</v>
      </c>
      <c r="I23" s="75">
        <v>13.75</v>
      </c>
      <c r="J23" s="54">
        <f t="shared" ref="J23:L25" si="2">H23*I23</f>
        <v>3643750</v>
      </c>
      <c r="L23" s="54">
        <f t="shared" ref="L23:L25" si="3">J23-E23</f>
        <v>-136250</v>
      </c>
    </row>
    <row r="24" spans="2:12" x14ac:dyDescent="0.2">
      <c r="B24" s="27" t="s">
        <v>53</v>
      </c>
      <c r="C24" s="43">
        <f>E15</f>
        <v>270000</v>
      </c>
      <c r="D24" s="71">
        <f>$C$16/$C$15</f>
        <v>8</v>
      </c>
      <c r="E24" s="54">
        <f t="shared" si="1"/>
        <v>2160000</v>
      </c>
      <c r="G24" s="27" t="s">
        <v>53</v>
      </c>
      <c r="H24" s="43"/>
      <c r="I24" s="71"/>
      <c r="J24" s="54">
        <v>2350000</v>
      </c>
      <c r="L24" s="54">
        <f t="shared" si="3"/>
        <v>190000</v>
      </c>
    </row>
    <row r="25" spans="2:12" x14ac:dyDescent="0.2">
      <c r="B25" s="45" t="s">
        <v>54</v>
      </c>
      <c r="C25" s="46"/>
      <c r="D25" s="47"/>
      <c r="E25" s="55">
        <f>E17</f>
        <v>2400000</v>
      </c>
      <c r="G25" s="45" t="s">
        <v>54</v>
      </c>
      <c r="H25" s="46"/>
      <c r="I25" s="47"/>
      <c r="J25" s="55">
        <v>2200000</v>
      </c>
      <c r="L25" s="54">
        <f t="shared" si="3"/>
        <v>-200000</v>
      </c>
    </row>
    <row r="26" spans="2:12" ht="12.75" thickBot="1" x14ac:dyDescent="0.25">
      <c r="B26" s="38" t="s">
        <v>46</v>
      </c>
      <c r="C26" s="38"/>
      <c r="D26" s="38"/>
      <c r="E26" s="74">
        <f>SUM(E22:E25)</f>
        <v>14820000</v>
      </c>
      <c r="G26" s="38" t="s">
        <v>46</v>
      </c>
      <c r="H26" s="38"/>
      <c r="I26" s="38"/>
      <c r="J26" s="74">
        <f>SUM(J22:J25)</f>
        <v>14815250</v>
      </c>
      <c r="L26" s="76">
        <f>SUM(L22:L25)</f>
        <v>-4750.0000000009313</v>
      </c>
    </row>
    <row r="29" spans="2:12" x14ac:dyDescent="0.2">
      <c r="B29" s="12" t="s">
        <v>63</v>
      </c>
      <c r="C29" s="12"/>
    </row>
    <row r="30" spans="2:12" ht="12.75" thickBot="1" x14ac:dyDescent="0.25">
      <c r="C30" s="77" t="s">
        <v>64</v>
      </c>
      <c r="D30" s="77" t="s">
        <v>65</v>
      </c>
      <c r="G30" s="3" t="s">
        <v>66</v>
      </c>
    </row>
    <row r="31" spans="2:12" x14ac:dyDescent="0.2">
      <c r="C31" s="78">
        <f>H22</f>
        <v>1615000</v>
      </c>
      <c r="D31" s="79">
        <f>I22</f>
        <v>4.0999999999999996</v>
      </c>
      <c r="E31" s="83">
        <f>C31*D31</f>
        <v>6621499.9999999991</v>
      </c>
      <c r="G31" s="9"/>
    </row>
    <row r="32" spans="2:12" ht="12.75" thickBot="1" x14ac:dyDescent="0.25">
      <c r="G32" s="84" t="s">
        <v>69</v>
      </c>
    </row>
    <row r="33" spans="2:8" x14ac:dyDescent="0.2">
      <c r="G33" s="85">
        <f>E31-E35</f>
        <v>161499.99999999907</v>
      </c>
      <c r="H33" s="2" t="str">
        <f>IF(G33&lt;0, "F", "U")</f>
        <v>U</v>
      </c>
    </row>
    <row r="34" spans="2:8" ht="12.75" thickBot="1" x14ac:dyDescent="0.25">
      <c r="C34" s="77" t="s">
        <v>64</v>
      </c>
      <c r="D34" s="77" t="s">
        <v>67</v>
      </c>
    </row>
    <row r="35" spans="2:8" x14ac:dyDescent="0.2">
      <c r="C35" s="80">
        <f>H22</f>
        <v>1615000</v>
      </c>
      <c r="D35" s="82">
        <f>D22</f>
        <v>4</v>
      </c>
      <c r="E35" s="83">
        <f>C35*D35</f>
        <v>6460000</v>
      </c>
    </row>
    <row r="36" spans="2:8" ht="12.75" thickBot="1" x14ac:dyDescent="0.25">
      <c r="G36" s="84" t="s">
        <v>70</v>
      </c>
    </row>
    <row r="37" spans="2:8" ht="12.75" thickBot="1" x14ac:dyDescent="0.25">
      <c r="C37" s="77" t="s">
        <v>68</v>
      </c>
      <c r="D37" s="77" t="s">
        <v>67</v>
      </c>
      <c r="G37" s="85">
        <f>E35-E38</f>
        <v>-20000</v>
      </c>
      <c r="H37" s="2" t="str">
        <f>IF(G37&lt;0, "F", "U")</f>
        <v>F</v>
      </c>
    </row>
    <row r="38" spans="2:8" x14ac:dyDescent="0.2">
      <c r="C38" s="78">
        <f>C22</f>
        <v>1620000</v>
      </c>
      <c r="D38" s="82">
        <f>D22</f>
        <v>4</v>
      </c>
      <c r="E38" s="83">
        <f>C38*D38</f>
        <v>6480000</v>
      </c>
    </row>
    <row r="41" spans="2:8" x14ac:dyDescent="0.2">
      <c r="B41" s="12" t="s">
        <v>71</v>
      </c>
      <c r="C41" s="12"/>
    </row>
    <row r="42" spans="2:8" ht="12.75" thickBot="1" x14ac:dyDescent="0.25">
      <c r="C42" s="77" t="s">
        <v>64</v>
      </c>
      <c r="D42" s="77" t="s">
        <v>65</v>
      </c>
      <c r="G42" s="3" t="s">
        <v>66</v>
      </c>
    </row>
    <row r="43" spans="2:8" x14ac:dyDescent="0.2">
      <c r="C43" s="78">
        <f>H23</f>
        <v>265000</v>
      </c>
      <c r="D43" s="79">
        <f>I23</f>
        <v>13.75</v>
      </c>
      <c r="E43" s="83">
        <f>C43*D43</f>
        <v>3643750</v>
      </c>
      <c r="G43" s="9"/>
    </row>
    <row r="44" spans="2:8" ht="12.75" thickBot="1" x14ac:dyDescent="0.25">
      <c r="G44" s="84" t="s">
        <v>69</v>
      </c>
    </row>
    <row r="45" spans="2:8" x14ac:dyDescent="0.2">
      <c r="G45" s="85">
        <f>E43-E47</f>
        <v>-66250</v>
      </c>
      <c r="H45" s="2" t="str">
        <f>IF(G45&lt;0, "F", "U")</f>
        <v>F</v>
      </c>
    </row>
    <row r="46" spans="2:8" ht="12.75" thickBot="1" x14ac:dyDescent="0.25">
      <c r="C46" s="77" t="s">
        <v>64</v>
      </c>
      <c r="D46" s="77" t="s">
        <v>67</v>
      </c>
    </row>
    <row r="47" spans="2:8" x14ac:dyDescent="0.2">
      <c r="C47" s="80">
        <f>H23</f>
        <v>265000</v>
      </c>
      <c r="D47" s="82">
        <f>D23</f>
        <v>14</v>
      </c>
      <c r="E47" s="83">
        <f>C47*D47</f>
        <v>3710000</v>
      </c>
    </row>
    <row r="48" spans="2:8" ht="12.75" thickBot="1" x14ac:dyDescent="0.25">
      <c r="G48" s="84" t="s">
        <v>70</v>
      </c>
    </row>
    <row r="49" spans="2:8" ht="12.75" thickBot="1" x14ac:dyDescent="0.25">
      <c r="C49" s="77" t="s">
        <v>68</v>
      </c>
      <c r="D49" s="77" t="s">
        <v>67</v>
      </c>
      <c r="G49" s="85">
        <f>E47-E50</f>
        <v>-70000</v>
      </c>
      <c r="H49" s="2" t="str">
        <f>IF(G49&lt;0, "F", "U")</f>
        <v>F</v>
      </c>
    </row>
    <row r="50" spans="2:8" x14ac:dyDescent="0.2">
      <c r="C50" s="78">
        <f>C23</f>
        <v>270000</v>
      </c>
      <c r="D50" s="82">
        <f>D23</f>
        <v>14</v>
      </c>
      <c r="E50" s="83">
        <f>C50*D50</f>
        <v>3780000</v>
      </c>
    </row>
    <row r="53" spans="2:8" x14ac:dyDescent="0.2">
      <c r="B53" s="12" t="s">
        <v>72</v>
      </c>
    </row>
    <row r="54" spans="2:8" ht="12.75" thickBot="1" x14ac:dyDescent="0.25">
      <c r="C54" s="77" t="s">
        <v>73</v>
      </c>
      <c r="D54" s="77" t="s">
        <v>74</v>
      </c>
      <c r="G54" s="3" t="s">
        <v>66</v>
      </c>
    </row>
    <row r="55" spans="2:8" x14ac:dyDescent="0.2">
      <c r="C55" s="81">
        <f>J24</f>
        <v>2350000</v>
      </c>
      <c r="D55" s="81">
        <f>J25</f>
        <v>2200000</v>
      </c>
      <c r="E55" s="83">
        <f>SUM(C55:D55)</f>
        <v>4550000</v>
      </c>
      <c r="G55" s="9"/>
    </row>
    <row r="56" spans="2:8" ht="12.75" thickBot="1" x14ac:dyDescent="0.25">
      <c r="G56" s="84" t="s">
        <v>78</v>
      </c>
    </row>
    <row r="57" spans="2:8" x14ac:dyDescent="0.2">
      <c r="G57" s="85">
        <f>E55-E59</f>
        <v>-10000</v>
      </c>
      <c r="H57" s="2" t="str">
        <f>IF(G57&lt;0, "F", "U")</f>
        <v>F</v>
      </c>
    </row>
    <row r="58" spans="2:8" ht="12.75" thickBot="1" x14ac:dyDescent="0.25">
      <c r="C58" s="77" t="s">
        <v>75</v>
      </c>
      <c r="D58" s="77" t="s">
        <v>76</v>
      </c>
    </row>
    <row r="59" spans="2:8" x14ac:dyDescent="0.2">
      <c r="C59" s="81">
        <f>E24</f>
        <v>2160000</v>
      </c>
      <c r="D59" s="81">
        <f>E25</f>
        <v>2400000</v>
      </c>
      <c r="E59" s="83">
        <f>SUM(C59:D59)</f>
        <v>4560000</v>
      </c>
    </row>
    <row r="60" spans="2:8" ht="12.75" thickBot="1" x14ac:dyDescent="0.25">
      <c r="G60" s="84" t="s">
        <v>70</v>
      </c>
    </row>
    <row r="61" spans="2:8" ht="12.75" thickBot="1" x14ac:dyDescent="0.25">
      <c r="C61" s="77" t="s">
        <v>75</v>
      </c>
      <c r="D61" s="77" t="s">
        <v>77</v>
      </c>
      <c r="G61" s="85">
        <f>E59-E62</f>
        <v>-300000</v>
      </c>
      <c r="H61" s="2" t="str">
        <f>IF(G61&lt;0, "F", "U")</f>
        <v>F</v>
      </c>
    </row>
    <row r="62" spans="2:8" x14ac:dyDescent="0.2">
      <c r="C62" s="81">
        <f>E24</f>
        <v>2160000</v>
      </c>
      <c r="D62" s="82">
        <f>(E25/D15)*C23</f>
        <v>2699999.9999999995</v>
      </c>
      <c r="E62" s="83">
        <f>SUM(C62:D62)</f>
        <v>4860000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Static Budget</vt:lpstr>
      <vt:lpstr>3. Cost of Goods Sold Budget</vt:lpstr>
      <vt:lpstr>4. SG&amp;A Budget</vt:lpstr>
      <vt:lpstr>Flexible Budget</vt:lpstr>
      <vt:lpstr>Variance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Lee</dc:creator>
  <cp:lastModifiedBy>Jason Lee</cp:lastModifiedBy>
  <dcterms:created xsi:type="dcterms:W3CDTF">2023-05-16T01:30:30Z</dcterms:created>
  <dcterms:modified xsi:type="dcterms:W3CDTF">2023-09-18T17:04:54Z</dcterms:modified>
</cp:coreProperties>
</file>