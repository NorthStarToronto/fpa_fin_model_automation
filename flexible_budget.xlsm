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pa_fin_model_automation\"/>
    </mc:Choice>
  </mc:AlternateContent>
  <xr:revisionPtr revIDLastSave="0" documentId="13_ncr:1_{5F64A82B-EFD1-48E2-A78A-85A9E556502B}" xr6:coauthVersionLast="47" xr6:coauthVersionMax="47" xr10:uidLastSave="{00000000-0000-0000-0000-000000000000}"/>
  <bookViews>
    <workbookView xWindow="-120" yWindow="-120" windowWidth="29040" windowHeight="15720" activeTab="3" xr2:uid="{C40D34B2-41DA-4B0C-BCC2-D8C12AA06FEB}"/>
  </bookViews>
  <sheets>
    <sheet name="Static Budget" sheetId="3" r:id="rId1"/>
    <sheet name="3. Cost of Goods Sold Budget" sheetId="1" r:id="rId2"/>
    <sheet name="4. SG&amp;A Budget" sheetId="2" r:id="rId3"/>
    <sheet name="Flexible Budget" sheetId="5" r:id="rId4"/>
    <sheet name="Variance Analysis" sheetId="7" r:id="rId5"/>
  </sheets>
  <functionGroups builtInGroupCount="19"/>
  <externalReferences>
    <externalReference r:id="rId6"/>
  </externalReferences>
  <definedNames>
    <definedName name="_xlnm._FilterDatabase" localSheetId="1" hidden="1">'3. Cost of Goods Sold Budget'!$B$4:$O$13</definedName>
    <definedName name="_xlnm._FilterDatabase" localSheetId="2" hidden="1">'4. SG&amp;A Budget'!$B$4:$O$19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5" l="1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24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24" i="5"/>
  <c r="G11" i="5"/>
  <c r="G10" i="5"/>
  <c r="G9" i="5"/>
  <c r="G8" i="5"/>
  <c r="G7" i="5"/>
  <c r="G5" i="5"/>
  <c r="G14" i="5"/>
  <c r="G15" i="5"/>
  <c r="G16" i="5"/>
  <c r="G17" i="5"/>
  <c r="G18" i="5"/>
  <c r="F11" i="5"/>
  <c r="F10" i="5"/>
  <c r="F9" i="5"/>
  <c r="F8" i="5"/>
  <c r="F7" i="5"/>
  <c r="F12" i="5" s="1"/>
  <c r="F5" i="5"/>
  <c r="F13" i="5" s="1"/>
  <c r="F19" i="5" s="1"/>
  <c r="C19" i="5"/>
  <c r="F17" i="5"/>
  <c r="F16" i="5"/>
  <c r="F15" i="5"/>
  <c r="F14" i="5"/>
  <c r="F18" i="5" s="1"/>
  <c r="C4" i="5"/>
  <c r="G12" i="5" l="1"/>
  <c r="G13" i="5" s="1"/>
  <c r="G19" i="5" s="1"/>
  <c r="D54" i="7"/>
  <c r="D50" i="7"/>
  <c r="C54" i="7"/>
  <c r="C53" i="7"/>
  <c r="C52" i="7"/>
  <c r="C50" i="7"/>
  <c r="C48" i="7"/>
  <c r="C49" i="7"/>
  <c r="H39" i="7" l="1"/>
  <c r="H40" i="7" s="1"/>
  <c r="I39" i="7"/>
  <c r="F39" i="7"/>
  <c r="E39" i="7"/>
  <c r="C39" i="7"/>
  <c r="B39" i="7"/>
  <c r="E34" i="7"/>
  <c r="E33" i="7"/>
  <c r="D34" i="7"/>
  <c r="D33" i="7"/>
  <c r="G31" i="7"/>
  <c r="D31" i="7"/>
  <c r="H30" i="7"/>
  <c r="E30" i="7"/>
  <c r="B30" i="7"/>
  <c r="I29" i="7"/>
  <c r="H29" i="7"/>
  <c r="F29" i="7"/>
  <c r="E29" i="7"/>
  <c r="C29" i="7"/>
  <c r="B29" i="7"/>
  <c r="D3" i="7"/>
  <c r="H18" i="7"/>
  <c r="C18" i="7"/>
  <c r="J21" i="7"/>
  <c r="J20" i="7"/>
  <c r="E16" i="7"/>
  <c r="E23" i="7" s="1"/>
  <c r="L23" i="7" s="1"/>
  <c r="D16" i="7"/>
  <c r="D8" i="7" s="1"/>
  <c r="E8" i="7" s="1"/>
  <c r="C22" i="7"/>
  <c r="C21" i="7"/>
  <c r="E21" i="7" s="1"/>
  <c r="C20" i="7"/>
  <c r="E14" i="7"/>
  <c r="D14" i="7"/>
  <c r="D7" i="7" s="1"/>
  <c r="D22" i="7" s="1"/>
  <c r="E22" i="7" s="1"/>
  <c r="L22" i="7" s="1"/>
  <c r="E13" i="7"/>
  <c r="D13" i="7"/>
  <c r="E6" i="7"/>
  <c r="E5" i="7"/>
  <c r="E40" i="7" l="1"/>
  <c r="G41" i="7" s="1"/>
  <c r="D44" i="7" s="1"/>
  <c r="E44" i="7" s="1"/>
  <c r="B40" i="7"/>
  <c r="L21" i="7"/>
  <c r="J24" i="7"/>
  <c r="E20" i="7"/>
  <c r="E24" i="7" s="1"/>
  <c r="E7" i="7"/>
  <c r="E15" i="7"/>
  <c r="C15" i="7"/>
  <c r="D41" i="7" l="1"/>
  <c r="D43" i="7" s="1"/>
  <c r="E43" i="7" s="1"/>
  <c r="L20" i="7"/>
  <c r="L24" i="7" s="1"/>
  <c r="E9" i="7" l="1"/>
  <c r="C17" i="5" l="1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5" i="2"/>
  <c r="Q6" i="1"/>
  <c r="Q7" i="1"/>
  <c r="Q8" i="1"/>
  <c r="Q9" i="1"/>
  <c r="Q10" i="1"/>
  <c r="Q12" i="1"/>
  <c r="Q5" i="1"/>
  <c r="C11" i="1"/>
  <c r="D14" i="2"/>
  <c r="D19" i="2" s="1"/>
  <c r="C14" i="2"/>
  <c r="C19" i="2" s="1"/>
  <c r="D6" i="2"/>
  <c r="D18" i="2" s="1"/>
  <c r="C6" i="2"/>
  <c r="C18" i="2" s="1"/>
  <c r="D5" i="2"/>
  <c r="C5" i="2"/>
  <c r="P22" i="1" a="1"/>
  <c r="P22" i="1" l="1"/>
  <c r="D9" i="2"/>
  <c r="C9" i="2"/>
  <c r="C12" i="2"/>
  <c r="D12" i="2"/>
  <c r="C15" i="2"/>
  <c r="D15" i="2"/>
  <c r="C13" i="1" l="1"/>
  <c r="C10" i="1"/>
  <c r="I17" i="2" l="1"/>
  <c r="G17" i="2"/>
  <c r="L14" i="2"/>
  <c r="K14" i="2"/>
  <c r="J14" i="2"/>
  <c r="I14" i="2"/>
  <c r="F14" i="2"/>
  <c r="E14" i="2"/>
  <c r="G11" i="2"/>
  <c r="G8" i="2"/>
  <c r="L6" i="2"/>
  <c r="K6" i="2"/>
  <c r="J6" i="2"/>
  <c r="I6" i="2"/>
  <c r="F6" i="2"/>
  <c r="F18" i="2" s="1"/>
  <c r="L18" i="2" s="1"/>
  <c r="E6" i="2"/>
  <c r="E18" i="2" s="1"/>
  <c r="K18" i="2" s="1"/>
  <c r="J18" i="2"/>
  <c r="I18" i="2"/>
  <c r="L5" i="2"/>
  <c r="K5" i="2"/>
  <c r="J5" i="2"/>
  <c r="I5" i="2"/>
  <c r="M5" i="2" s="1"/>
  <c r="F5" i="2"/>
  <c r="E5" i="2"/>
  <c r="L12" i="1"/>
  <c r="K12" i="1"/>
  <c r="J12" i="1"/>
  <c r="J13" i="1" s="1"/>
  <c r="I12" i="1"/>
  <c r="F12" i="1"/>
  <c r="E12" i="1"/>
  <c r="D12" i="1"/>
  <c r="C12" i="1"/>
  <c r="L11" i="1"/>
  <c r="K11" i="1"/>
  <c r="J11" i="1"/>
  <c r="I11" i="1"/>
  <c r="F11" i="1"/>
  <c r="E11" i="1"/>
  <c r="D11" i="1"/>
  <c r="L10" i="1"/>
  <c r="K10" i="1"/>
  <c r="J10" i="1"/>
  <c r="I10" i="1"/>
  <c r="F10" i="1"/>
  <c r="E10" i="1"/>
  <c r="D10" i="1"/>
  <c r="L7" i="1"/>
  <c r="K7" i="1"/>
  <c r="J7" i="1"/>
  <c r="I7" i="1"/>
  <c r="F7" i="1"/>
  <c r="E7" i="1"/>
  <c r="D7" i="1"/>
  <c r="L6" i="1"/>
  <c r="K6" i="1"/>
  <c r="J6" i="1"/>
  <c r="I6" i="1"/>
  <c r="F6" i="1"/>
  <c r="E6" i="1"/>
  <c r="D6" i="1"/>
  <c r="C6" i="1"/>
  <c r="I12" i="2" l="1"/>
  <c r="I11" i="2" s="1"/>
  <c r="G5" i="2"/>
  <c r="E9" i="2"/>
  <c r="E12" i="2"/>
  <c r="K12" i="2" s="1"/>
  <c r="K11" i="2" s="1"/>
  <c r="I15" i="2"/>
  <c r="G6" i="1"/>
  <c r="G10" i="1"/>
  <c r="G12" i="1"/>
  <c r="F15" i="2"/>
  <c r="L15" i="2" s="1"/>
  <c r="M14" i="2"/>
  <c r="C16" i="5" s="1"/>
  <c r="E15" i="2"/>
  <c r="K15" i="2" s="1"/>
  <c r="F13" i="1"/>
  <c r="E13" i="1"/>
  <c r="M6" i="2"/>
  <c r="G14" i="2"/>
  <c r="M7" i="1"/>
  <c r="C8" i="5" s="1"/>
  <c r="D8" i="5" s="1"/>
  <c r="D13" i="1"/>
  <c r="I13" i="1"/>
  <c r="M10" i="1"/>
  <c r="C14" i="5" s="1"/>
  <c r="M12" i="1"/>
  <c r="C15" i="5" s="1"/>
  <c r="M11" i="1"/>
  <c r="Q11" i="1" s="1"/>
  <c r="C11" i="5" s="1"/>
  <c r="D11" i="5" s="1"/>
  <c r="M6" i="1"/>
  <c r="C7" i="5" s="1"/>
  <c r="L13" i="1"/>
  <c r="K13" i="1"/>
  <c r="J17" i="2"/>
  <c r="K17" i="2" s="1"/>
  <c r="L17" i="2" s="1"/>
  <c r="E19" i="2"/>
  <c r="J12" i="2"/>
  <c r="J11" i="2" s="1"/>
  <c r="F19" i="2"/>
  <c r="G6" i="2"/>
  <c r="F9" i="2"/>
  <c r="F12" i="2"/>
  <c r="L12" i="2" s="1"/>
  <c r="L11" i="2" s="1"/>
  <c r="J15" i="2"/>
  <c r="C18" i="5" l="1"/>
  <c r="D7" i="5"/>
  <c r="C5" i="5"/>
  <c r="G18" i="2"/>
  <c r="G11" i="1"/>
  <c r="C7" i="1"/>
  <c r="G7" i="1" s="1"/>
  <c r="G12" i="2"/>
  <c r="M15" i="2"/>
  <c r="G19" i="2"/>
  <c r="M13" i="1"/>
  <c r="M11" i="2"/>
  <c r="C10" i="5" s="1"/>
  <c r="D10" i="5" s="1"/>
  <c r="G15" i="2"/>
  <c r="G9" i="2"/>
  <c r="I9" i="2" s="1"/>
  <c r="J9" i="2" s="1"/>
  <c r="M17" i="2"/>
  <c r="M18" i="2" s="1"/>
  <c r="D5" i="5" l="1"/>
  <c r="G13" i="1"/>
  <c r="M12" i="2"/>
  <c r="I8" i="2"/>
  <c r="I19" i="2" s="1"/>
  <c r="K9" i="2"/>
  <c r="J8" i="2"/>
  <c r="J19" i="2" s="1"/>
  <c r="L9" i="2" l="1"/>
  <c r="L8" i="2" s="1"/>
  <c r="L19" i="2" s="1"/>
  <c r="K8" i="2"/>
  <c r="K19" i="2" s="1"/>
  <c r="M19" i="2" l="1"/>
  <c r="M8" i="2"/>
  <c r="C9" i="5" s="1"/>
  <c r="D9" i="5" l="1"/>
  <c r="D12" i="5" s="1"/>
  <c r="C12" i="5"/>
  <c r="C13" i="5" s="1"/>
  <c r="M9" i="2"/>
  <c r="D1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<sst xmlns="http://schemas.openxmlformats.org/spreadsheetml/2006/main" count="151" uniqueCount="76">
  <si>
    <t>Cost of Goods Sold Budget</t>
  </si>
  <si>
    <t>Q1</t>
  </si>
  <si>
    <t>Q2</t>
  </si>
  <si>
    <t>Q3</t>
  </si>
  <si>
    <t>Q4</t>
  </si>
  <si>
    <t>Actual</t>
  </si>
  <si>
    <t>Forecast</t>
  </si>
  <si>
    <t>Direct Costs in CAD</t>
  </si>
  <si>
    <t>Direct Material</t>
  </si>
  <si>
    <t>Direct Labor</t>
  </si>
  <si>
    <t>Indirect Costs in CAD</t>
  </si>
  <si>
    <t>Indirect Labor</t>
  </si>
  <si>
    <t>Utility Expense</t>
  </si>
  <si>
    <t>Depreciation Expense</t>
  </si>
  <si>
    <t>Cost of Goods Sold</t>
  </si>
  <si>
    <t>SG&amp;A Budget</t>
  </si>
  <si>
    <t>as a % of Sales</t>
  </si>
  <si>
    <t>Total SG&amp;A Cost</t>
  </si>
  <si>
    <t xml:space="preserve">Sales Commision Expense </t>
  </si>
  <si>
    <t xml:space="preserve">Marketing Expense </t>
  </si>
  <si>
    <t xml:space="preserve">Payroll Expense </t>
  </si>
  <si>
    <t xml:space="preserve">Office Rent Expense </t>
  </si>
  <si>
    <t>Static Budget</t>
  </si>
  <si>
    <t>Variable</t>
  </si>
  <si>
    <t>Fixed</t>
  </si>
  <si>
    <t>Mixed</t>
  </si>
  <si>
    <t>Variable, Fixed, or Mixed</t>
  </si>
  <si>
    <t>Fixed Portion of Mixed Cost</t>
  </si>
  <si>
    <t>Flexible Budget</t>
  </si>
  <si>
    <t>Sales</t>
  </si>
  <si>
    <t>Units Sales of</t>
  </si>
  <si>
    <t>Sales Volume</t>
  </si>
  <si>
    <t>Variable Costs</t>
  </si>
  <si>
    <t>Variable Portion of Mixed Cost</t>
  </si>
  <si>
    <t>Total Variable Costs</t>
  </si>
  <si>
    <t>Variable Amount per Unit</t>
  </si>
  <si>
    <t>Variance Analysis</t>
  </si>
  <si>
    <t>Cost per Unit</t>
  </si>
  <si>
    <t>Total</t>
  </si>
  <si>
    <t>Overhead - Variable Portion</t>
  </si>
  <si>
    <t>Overhead - Fixed Portion</t>
  </si>
  <si>
    <t>Standard Costs per Unit Product A</t>
  </si>
  <si>
    <t>Production Capacity %</t>
  </si>
  <si>
    <t>Direct Labor Hours</t>
  </si>
  <si>
    <t>Production Volume Units</t>
  </si>
  <si>
    <t>Overhead Cost - Variable</t>
  </si>
  <si>
    <t>Actual Performance</t>
  </si>
  <si>
    <t>Overhead Cost - Fixed</t>
  </si>
  <si>
    <t>Units</t>
  </si>
  <si>
    <t>Actual Costs Incurred</t>
  </si>
  <si>
    <t>Standard Costs Assigned</t>
  </si>
  <si>
    <t>Production Capacity</t>
  </si>
  <si>
    <t>Variance</t>
  </si>
  <si>
    <t>Total Standard Costs</t>
  </si>
  <si>
    <t>Direct Material Variance</t>
  </si>
  <si>
    <t>AQ</t>
  </si>
  <si>
    <t>AP</t>
  </si>
  <si>
    <t>SP</t>
  </si>
  <si>
    <t>SQ</t>
  </si>
  <si>
    <t>Price Variance</t>
  </si>
  <si>
    <t>Volume Variance</t>
  </si>
  <si>
    <t>Direct Labor Variance</t>
  </si>
  <si>
    <t>Overhead Variance</t>
  </si>
  <si>
    <t>Actual Overhead</t>
  </si>
  <si>
    <t>Flexible Budget Overhead</t>
  </si>
  <si>
    <t>Controllable Variance</t>
  </si>
  <si>
    <t>Applied Fixed Overhead</t>
  </si>
  <si>
    <t>Budgeted Fixed Overhead</t>
  </si>
  <si>
    <t>Contribution Marign</t>
  </si>
  <si>
    <t>Total Fixed Costs</t>
  </si>
  <si>
    <t>Income from Operations</t>
  </si>
  <si>
    <t>Fixed Costs</t>
  </si>
  <si>
    <t>Total Costs</t>
  </si>
  <si>
    <t>Total Revenues</t>
  </si>
  <si>
    <t>BEP</t>
  </si>
  <si>
    <t>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</si>
</sst>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#,##0&quot; units&quot;"/>
    <numFmt numFmtId="166" formatCode="#,##0\ &quot;lbs&quot;"/>
    <numFmt numFmtId="167" formatCode="#,##0\ &quot;hrs&quot;"/>
    <numFmt numFmtId="168" formatCode="&quot;$&quot;#,##0"/>
    <numFmt numFmtId="169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sz val="9"/>
      <color rgb="FF00206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b/>
      <i/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auto="1"/>
      </top>
      <bottom style="medium">
        <color rgb="FF002060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5" fillId="2" borderId="2" xfId="0" applyFont="1" applyFill="1" applyBorder="1"/>
    <xf numFmtId="164" fontId="6" fillId="2" borderId="2" xfId="1" applyNumberFormat="1" applyFont="1" applyFill="1" applyBorder="1"/>
    <xf numFmtId="164" fontId="5" fillId="2" borderId="2" xfId="1" applyNumberFormat="1" applyFont="1" applyFill="1" applyBorder="1"/>
    <xf numFmtId="0" fontId="6" fillId="2" borderId="0" xfId="0" applyFont="1" applyFill="1"/>
    <xf numFmtId="3" fontId="6" fillId="2" borderId="0" xfId="1" applyNumberFormat="1" applyFont="1" applyFill="1" applyBorder="1"/>
    <xf numFmtId="3" fontId="5" fillId="2" borderId="0" xfId="1" applyNumberFormat="1" applyFont="1" applyFill="1" applyBorder="1"/>
    <xf numFmtId="0" fontId="5" fillId="2" borderId="0" xfId="0" applyFont="1" applyFill="1"/>
    <xf numFmtId="0" fontId="7" fillId="2" borderId="0" xfId="0" applyFont="1" applyFill="1"/>
    <xf numFmtId="3" fontId="3" fillId="2" borderId="3" xfId="0" applyNumberFormat="1" applyFont="1" applyFill="1" applyBorder="1"/>
    <xf numFmtId="3" fontId="3" fillId="2" borderId="4" xfId="0" applyNumberFormat="1" applyFont="1" applyFill="1" applyBorder="1"/>
    <xf numFmtId="9" fontId="4" fillId="2" borderId="0" xfId="2" applyFont="1" applyFill="1" applyBorder="1"/>
    <xf numFmtId="164" fontId="6" fillId="2" borderId="0" xfId="1" applyNumberFormat="1" applyFont="1" applyFill="1" applyBorder="1"/>
    <xf numFmtId="164" fontId="5" fillId="2" borderId="0" xfId="1" applyNumberFormat="1" applyFont="1" applyFill="1" applyBorder="1"/>
    <xf numFmtId="9" fontId="4" fillId="2" borderId="0" xfId="2" applyFont="1" applyFill="1"/>
    <xf numFmtId="9" fontId="5" fillId="2" borderId="0" xfId="2" applyFont="1" applyFill="1" applyBorder="1"/>
    <xf numFmtId="9" fontId="6" fillId="2" borderId="0" xfId="2" applyFont="1" applyFill="1" applyBorder="1"/>
    <xf numFmtId="9" fontId="5" fillId="2" borderId="0" xfId="1" applyNumberFormat="1" applyFont="1" applyFill="1" applyBorder="1"/>
    <xf numFmtId="3" fontId="6" fillId="2" borderId="0" xfId="0" applyNumberFormat="1" applyFont="1" applyFill="1"/>
    <xf numFmtId="0" fontId="8" fillId="2" borderId="0" xfId="0" applyFont="1" applyFill="1"/>
    <xf numFmtId="164" fontId="4" fillId="2" borderId="0" xfId="0" applyNumberFormat="1" applyFont="1" applyFill="1"/>
    <xf numFmtId="3" fontId="4" fillId="2" borderId="4" xfId="0" applyNumberFormat="1" applyFont="1" applyFill="1" applyBorder="1"/>
    <xf numFmtId="165" fontId="2" fillId="2" borderId="0" xfId="0" applyNumberFormat="1" applyFont="1" applyFill="1"/>
    <xf numFmtId="0" fontId="9" fillId="2" borderId="0" xfId="0" applyFont="1" applyFill="1"/>
    <xf numFmtId="0" fontId="0" fillId="2" borderId="0" xfId="0" applyFill="1"/>
    <xf numFmtId="3" fontId="10" fillId="2" borderId="0" xfId="0" applyNumberFormat="1" applyFont="1" applyFill="1"/>
    <xf numFmtId="168" fontId="0" fillId="2" borderId="0" xfId="0" applyNumberFormat="1" applyFill="1"/>
    <xf numFmtId="3" fontId="5" fillId="2" borderId="0" xfId="0" applyNumberFormat="1" applyFont="1" applyFill="1"/>
    <xf numFmtId="1" fontId="6" fillId="2" borderId="0" xfId="0" applyNumberFormat="1" applyFont="1" applyFill="1"/>
    <xf numFmtId="0" fontId="3" fillId="2" borderId="5" xfId="0" applyFont="1" applyFill="1" applyBorder="1"/>
    <xf numFmtId="3" fontId="8" fillId="2" borderId="0" xfId="0" applyNumberFormat="1" applyFont="1" applyFill="1"/>
    <xf numFmtId="2" fontId="6" fillId="2" borderId="0" xfId="0" applyNumberFormat="1" applyFont="1" applyFill="1"/>
    <xf numFmtId="2" fontId="5" fillId="2" borderId="0" xfId="0" applyNumberFormat="1" applyFont="1" applyFill="1"/>
    <xf numFmtId="0" fontId="11" fillId="2" borderId="0" xfId="0" applyFont="1" applyFill="1" applyAlignment="1">
      <alignment horizontal="left" indent="1"/>
    </xf>
    <xf numFmtId="165" fontId="3" fillId="2" borderId="1" xfId="0" applyNumberFormat="1" applyFont="1" applyFill="1" applyBorder="1"/>
    <xf numFmtId="9" fontId="6" fillId="2" borderId="0" xfId="0" applyNumberFormat="1" applyFont="1" applyFill="1"/>
    <xf numFmtId="165" fontId="3" fillId="2" borderId="1" xfId="0" applyNumberFormat="1" applyFont="1" applyFill="1" applyBorder="1" applyAlignment="1">
      <alignment horizontal="right"/>
    </xf>
    <xf numFmtId="166" fontId="8" fillId="2" borderId="0" xfId="0" applyNumberFormat="1" applyFont="1" applyFill="1"/>
    <xf numFmtId="168" fontId="6" fillId="3" borderId="0" xfId="0" applyNumberFormat="1" applyFont="1" applyFill="1"/>
    <xf numFmtId="168" fontId="6" fillId="2" borderId="0" xfId="0" applyNumberFormat="1" applyFont="1" applyFill="1"/>
    <xf numFmtId="167" fontId="8" fillId="2" borderId="0" xfId="0" applyNumberFormat="1" applyFont="1" applyFill="1"/>
    <xf numFmtId="0" fontId="3" fillId="2" borderId="4" xfId="0" applyFont="1" applyFill="1" applyBorder="1"/>
    <xf numFmtId="0" fontId="6" fillId="3" borderId="6" xfId="0" applyFont="1" applyFill="1" applyBorder="1"/>
    <xf numFmtId="168" fontId="6" fillId="2" borderId="6" xfId="0" applyNumberFormat="1" applyFont="1" applyFill="1" applyBorder="1"/>
    <xf numFmtId="0" fontId="6" fillId="3" borderId="0" xfId="0" applyFont="1" applyFill="1"/>
    <xf numFmtId="9" fontId="6" fillId="3" borderId="0" xfId="0" applyNumberFormat="1" applyFont="1" applyFill="1"/>
    <xf numFmtId="164" fontId="6" fillId="2" borderId="0" xfId="1" applyNumberFormat="1" applyFont="1" applyFill="1"/>
    <xf numFmtId="164" fontId="6" fillId="3" borderId="0" xfId="1" applyNumberFormat="1" applyFont="1" applyFill="1"/>
    <xf numFmtId="167" fontId="8" fillId="3" borderId="0" xfId="0" applyNumberFormat="1" applyFont="1" applyFill="1"/>
    <xf numFmtId="43" fontId="6" fillId="2" borderId="0" xfId="1" applyFont="1" applyFill="1"/>
    <xf numFmtId="9" fontId="6" fillId="2" borderId="0" xfId="2" applyFont="1" applyFill="1"/>
    <xf numFmtId="169" fontId="5" fillId="2" borderId="0" xfId="0" applyNumberFormat="1" applyFont="1" applyFill="1"/>
    <xf numFmtId="168" fontId="5" fillId="2" borderId="0" xfId="0" applyNumberFormat="1" applyFont="1" applyFill="1"/>
    <xf numFmtId="167" fontId="6" fillId="2" borderId="0" xfId="0" applyNumberFormat="1" applyFont="1" applyFill="1"/>
    <xf numFmtId="0" fontId="5" fillId="2" borderId="6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6" fontId="6" fillId="2" borderId="0" xfId="0" applyNumberFormat="1" applyFont="1" applyFill="1"/>
    <xf numFmtId="169" fontId="6" fillId="2" borderId="0" xfId="0" applyNumberFormat="1" applyFont="1" applyFill="1"/>
    <xf numFmtId="168" fontId="6" fillId="2" borderId="7" xfId="0" applyNumberFormat="1" applyFont="1" applyFill="1" applyBorder="1"/>
    <xf numFmtId="0" fontId="6" fillId="2" borderId="7" xfId="0" applyFont="1" applyFill="1" applyBorder="1"/>
    <xf numFmtId="168" fontId="5" fillId="2" borderId="8" xfId="0" applyNumberFormat="1" applyFont="1" applyFill="1" applyBorder="1"/>
    <xf numFmtId="0" fontId="5" fillId="2" borderId="0" xfId="0" applyFont="1" applyFill="1" applyAlignment="1">
      <alignment horizontal="right"/>
    </xf>
    <xf numFmtId="3" fontId="11" fillId="2" borderId="0" xfId="0" applyNumberFormat="1" applyFont="1" applyFill="1"/>
    <xf numFmtId="2" fontId="11" fillId="2" borderId="0" xfId="0" applyNumberFormat="1" applyFont="1" applyFill="1"/>
    <xf numFmtId="0" fontId="11" fillId="2" borderId="0" xfId="0" applyFont="1" applyFill="1"/>
    <xf numFmtId="0" fontId="3" fillId="2" borderId="8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 sz="2000">
                <a:latin typeface="+mj-lt"/>
                <a:cs typeface="Arial" panose="020B0604020202020204" pitchFamily="34" charset="0"/>
              </a:rPr>
              <a:t>CVP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'Flexible Budget'!$F$23</c:f>
              <c:strCache>
                <c:ptCount val="1"/>
                <c:pt idx="0">
                  <c:v>Total Costs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'Flexible Budget'!$B$24:$B$45</c:f>
              <c:numCache>
                <c:formatCode>#,##0</c:formatCode>
                <c:ptCount val="22"/>
                <c:pt idx="0" formatCode="General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</c:numCache>
            </c:numRef>
          </c:cat>
          <c:val>
            <c:numRef>
              <c:f>'Flexible Budget'!$F$24:$F$45</c:f>
              <c:numCache>
                <c:formatCode>"$"#,##0</c:formatCode>
                <c:ptCount val="22"/>
                <c:pt idx="0">
                  <c:v>2840900.2889193781</c:v>
                </c:pt>
                <c:pt idx="1">
                  <c:v>3481354.244255946</c:v>
                </c:pt>
                <c:pt idx="2">
                  <c:v>4121808.199592514</c:v>
                </c:pt>
                <c:pt idx="3">
                  <c:v>4762262.1549290819</c:v>
                </c:pt>
                <c:pt idx="4">
                  <c:v>5402716.1102656499</c:v>
                </c:pt>
                <c:pt idx="5">
                  <c:v>6043170.0656022169</c:v>
                </c:pt>
                <c:pt idx="6">
                  <c:v>6683624.0209387857</c:v>
                </c:pt>
                <c:pt idx="7">
                  <c:v>7324077.9762753528</c:v>
                </c:pt>
                <c:pt idx="8">
                  <c:v>7964531.9316119207</c:v>
                </c:pt>
                <c:pt idx="9">
                  <c:v>8604985.8869484887</c:v>
                </c:pt>
                <c:pt idx="10">
                  <c:v>9245439.8422850557</c:v>
                </c:pt>
                <c:pt idx="11">
                  <c:v>9885893.7976216245</c:v>
                </c:pt>
                <c:pt idx="12">
                  <c:v>10526347.752958193</c:v>
                </c:pt>
                <c:pt idx="13">
                  <c:v>11166801.70829476</c:v>
                </c:pt>
                <c:pt idx="14">
                  <c:v>11807255.663631327</c:v>
                </c:pt>
                <c:pt idx="15">
                  <c:v>12447709.618967896</c:v>
                </c:pt>
                <c:pt idx="16">
                  <c:v>13088163.574304463</c:v>
                </c:pt>
                <c:pt idx="17">
                  <c:v>13728617.529641032</c:v>
                </c:pt>
                <c:pt idx="18">
                  <c:v>14369071.484977599</c:v>
                </c:pt>
                <c:pt idx="19">
                  <c:v>15009525.440314166</c:v>
                </c:pt>
                <c:pt idx="20">
                  <c:v>15649979.395650735</c:v>
                </c:pt>
                <c:pt idx="21">
                  <c:v>16290433.350987302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7-464B-809B-2EDC8125CF73}"/>
            </c:ext>
          </c:extLst>
        </c:ser>
        <c:ser>
          <c:idx val="2"/>
          <c:order val="1"/>
          <c:tx>
            <c:strRef>
              <c:f>'Flexible Budget'!$G$23</c:f>
              <c:strCache>
                <c:ptCount val="1"/>
                <c:pt idx="0">
                  <c:v>Total Revenues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'Flexible Budget'!$B$24:$B$45</c:f>
              <c:numCache>
                <c:formatCode>#,##0</c:formatCode>
                <c:ptCount val="22"/>
                <c:pt idx="0" formatCode="General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  <c:pt idx="21">
                  <c:v>2100000</c:v>
                </c:pt>
              </c:numCache>
            </c:numRef>
          </c:cat>
          <c:val>
            <c:numRef>
              <c:f>'Flexible Budget'!$G$24:$G$45</c:f>
              <c:numCache>
                <c:formatCode>"$"#,##0</c:formatCode>
                <c:ptCount val="22"/>
                <c:pt idx="0">
                  <c:v>0</c:v>
                </c:pt>
                <c:pt idx="1">
                  <c:v>1883333.3333333333</c:v>
                </c:pt>
                <c:pt idx="2">
                  <c:v>3766666.6666666665</c:v>
                </c:pt>
                <c:pt idx="3">
                  <c:v>5650000</c:v>
                </c:pt>
                <c:pt idx="4">
                  <c:v>7533333.333333333</c:v>
                </c:pt>
                <c:pt idx="5">
                  <c:v>9416666.666666666</c:v>
                </c:pt>
                <c:pt idx="6">
                  <c:v>11300000</c:v>
                </c:pt>
                <c:pt idx="7">
                  <c:v>13183333.333333332</c:v>
                </c:pt>
                <c:pt idx="8">
                  <c:v>15066666.666666666</c:v>
                </c:pt>
                <c:pt idx="9">
                  <c:v>16950000</c:v>
                </c:pt>
                <c:pt idx="10">
                  <c:v>18833333.333333332</c:v>
                </c:pt>
                <c:pt idx="11">
                  <c:v>20716666.666666664</c:v>
                </c:pt>
                <c:pt idx="12">
                  <c:v>22600000</c:v>
                </c:pt>
                <c:pt idx="13">
                  <c:v>24483333.333333332</c:v>
                </c:pt>
                <c:pt idx="14">
                  <c:v>26366666.666666664</c:v>
                </c:pt>
                <c:pt idx="15">
                  <c:v>28250000</c:v>
                </c:pt>
                <c:pt idx="16">
                  <c:v>30133333.333333332</c:v>
                </c:pt>
                <c:pt idx="17">
                  <c:v>32016666.666666664</c:v>
                </c:pt>
                <c:pt idx="18">
                  <c:v>33900000</c:v>
                </c:pt>
                <c:pt idx="19">
                  <c:v>35783333.333333328</c:v>
                </c:pt>
                <c:pt idx="20">
                  <c:v>37666666.666666664</c:v>
                </c:pt>
                <c:pt idx="21">
                  <c:v>39550000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87-464B-809B-2EDC8125C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1524432"/>
        <c:axId val="1981401232"/>
      </c:lineChart>
      <c:catAx>
        <c:axId val="207152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1401232"/>
        <c:crosses val="autoZero"/>
        <c:auto val="1"/>
        <c:lblAlgn val="ctr"/>
        <c:lblOffset val="100"/>
        <c:noMultiLvlLbl val="0"/>
      </c:catAx>
      <c:valAx>
        <c:axId val="1981401232"/>
        <c:scaling>
          <c:orientation val="minMax"/>
        </c:scaling>
        <c:delete val="0"/>
        <c:axPos val="l"/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52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180974</xdr:colOff>
      <xdr:row>15</xdr:row>
      <xdr:rowOff>9525</xdr:rowOff>
    </xdr:from>
    <xdr:to>
      <xdr:col>17</xdr:col>
      <xdr:colOff>552449</xdr:colOff>
      <xdr:row>32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44F124-5A89-DDA2-C9D9-59E06B39C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552450</xdr:colOff>
      <xdr:row>25</xdr:row>
      <xdr:rowOff>133350</xdr:rowOff>
    </xdr:from>
    <xdr:to>
      <xdr:col>11</xdr:col>
      <xdr:colOff>428625</xdr:colOff>
      <xdr:row>27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4369253-3DA5-F4F8-84E0-42EF9795405D}"/>
            </a:ext>
          </a:extLst>
        </xdr:cNvPr>
        <xdr:cNvSpPr txBox="1"/>
      </xdr:nvSpPr>
      <xdr:spPr>
        <a:xfrm>
          <a:off x="8486775" y="4924425"/>
          <a:ext cx="1095375" cy="247650"/>
        </a:xfrm>
        <a:prstGeom prst="rect">
          <a:avLst/>
        </a:prstGeom>
        <a:solidFill>
          <a:schemeClr val="tx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bg1"/>
              </a:solidFill>
            </a:rPr>
            <a:t>228.574 units</a:t>
          </a:r>
        </a:p>
        <a:p>
          <a:pPr algn="ctr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fpa_fin_model_automation\basic_fpna.xlsm" TargetMode="External"/><Relationship Id="rId1" Type="http://schemas.openxmlformats.org/officeDocument/2006/relationships/externalLinkPath" Target="basic_fpn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C"/>
      <sheetName val="Operating Budget"/>
      <sheetName val="1. Sales Budget"/>
      <sheetName val="1.a Bottom-up Approach"/>
      <sheetName val="1.b Top-down Approach"/>
      <sheetName val="2. Production Budget"/>
      <sheetName val="3. Cost of Goods Sold Budget"/>
      <sheetName val="3.1 Direct Material Budget"/>
      <sheetName val="3.2 Direct Labor Budget"/>
      <sheetName val="3.3 Overhead Budget"/>
      <sheetName val="4. SG&amp;A Budget"/>
      <sheetName val="4.1 Payroll Budget"/>
      <sheetName val="Cash Budget"/>
      <sheetName val="5. Working Capital Budget"/>
      <sheetName val="6. Fixed Assets Budget"/>
      <sheetName val="7. Loan Repayment Schedule"/>
      <sheetName val="Master Budget"/>
      <sheetName val="Income Statement"/>
      <sheetName val="Balance Sheet"/>
      <sheetName val="Cash Flow Statement"/>
    </sheetNames>
    <sheetDataSet>
      <sheetData sheetId="0"/>
      <sheetData sheetId="1"/>
      <sheetData sheetId="2">
        <row r="10">
          <cell r="C10">
            <v>225000</v>
          </cell>
          <cell r="D10">
            <v>375000</v>
          </cell>
          <cell r="E10">
            <v>450000</v>
          </cell>
          <cell r="F10">
            <v>105000</v>
          </cell>
          <cell r="I10">
            <v>251600</v>
          </cell>
          <cell r="J10">
            <v>420000</v>
          </cell>
          <cell r="K10">
            <v>539000</v>
          </cell>
          <cell r="L10">
            <v>120199.99999999999</v>
          </cell>
        </row>
        <row r="21">
          <cell r="C21">
            <v>4125000</v>
          </cell>
          <cell r="D21">
            <v>6875000</v>
          </cell>
          <cell r="E21">
            <v>8250000</v>
          </cell>
          <cell r="F21">
            <v>1925000</v>
          </cell>
          <cell r="I21">
            <v>4738466.666666666</v>
          </cell>
          <cell r="J21">
            <v>7910000</v>
          </cell>
          <cell r="K21">
            <v>10151166.666666666</v>
          </cell>
          <cell r="L21">
            <v>2263766.666666666</v>
          </cell>
        </row>
      </sheetData>
      <sheetData sheetId="3"/>
      <sheetData sheetId="4"/>
      <sheetData sheetId="5"/>
      <sheetData sheetId="6"/>
      <sheetData sheetId="7">
        <row r="20">
          <cell r="C20">
            <v>-259417.5</v>
          </cell>
          <cell r="D20">
            <v>-499395</v>
          </cell>
          <cell r="E20">
            <v>-579150</v>
          </cell>
          <cell r="F20">
            <v>-55500</v>
          </cell>
          <cell r="I20">
            <v>-346473.51999999996</v>
          </cell>
          <cell r="J20">
            <v>-559050.48</v>
          </cell>
          <cell r="K20">
            <v>-697811.79999999993</v>
          </cell>
          <cell r="L20">
            <v>-65568.639999999985</v>
          </cell>
        </row>
      </sheetData>
      <sheetData sheetId="8">
        <row r="24">
          <cell r="D24">
            <v>-1437840</v>
          </cell>
          <cell r="E24">
            <v>-1666800</v>
          </cell>
          <cell r="F24">
            <v>-162000</v>
          </cell>
          <cell r="I24">
            <v>-997127.29142857122</v>
          </cell>
          <cell r="J24">
            <v>-1609296.7085714284</v>
          </cell>
          <cell r="K24">
            <v>-2009154.7999999998</v>
          </cell>
          <cell r="L24">
            <v>-190749.32571428566</v>
          </cell>
        </row>
      </sheetData>
      <sheetData sheetId="9">
        <row r="12">
          <cell r="D12">
            <v>-100000</v>
          </cell>
          <cell r="E12">
            <v>-100000</v>
          </cell>
          <cell r="F12">
            <v>-100000</v>
          </cell>
          <cell r="I12">
            <v>-120000</v>
          </cell>
          <cell r="J12">
            <v>-120000</v>
          </cell>
          <cell r="K12">
            <v>-120000</v>
          </cell>
          <cell r="L12">
            <v>-120000</v>
          </cell>
        </row>
        <row r="17">
          <cell r="D17">
            <v>-59910</v>
          </cell>
          <cell r="E17">
            <v>-69450</v>
          </cell>
          <cell r="F17">
            <v>-6750</v>
          </cell>
          <cell r="I17">
            <v>-41546.970476190472</v>
          </cell>
          <cell r="J17">
            <v>-67054.029523809513</v>
          </cell>
          <cell r="K17">
            <v>-83714.783333333326</v>
          </cell>
          <cell r="L17">
            <v>-7947.8885714285689</v>
          </cell>
        </row>
        <row r="19">
          <cell r="C19">
            <v>-102000</v>
          </cell>
          <cell r="D19">
            <v>-114583.35</v>
          </cell>
          <cell r="E19">
            <v>-130000</v>
          </cell>
          <cell r="F19">
            <v>-140000</v>
          </cell>
          <cell r="I19">
            <v>-137693.8282306412</v>
          </cell>
          <cell r="J19">
            <v>-157440.83445501066</v>
          </cell>
          <cell r="K19">
            <v>-186587.72685605849</v>
          </cell>
          <cell r="L19">
            <v>-223177.8993776679</v>
          </cell>
        </row>
      </sheetData>
      <sheetData sheetId="10"/>
      <sheetData sheetId="11">
        <row r="20">
          <cell r="C20">
            <v>-280000</v>
          </cell>
          <cell r="D20">
            <v>-280000</v>
          </cell>
          <cell r="E20">
            <v>-280000</v>
          </cell>
          <cell r="F20">
            <v>-280000</v>
          </cell>
          <cell r="I20">
            <v>-294000</v>
          </cell>
          <cell r="J20">
            <v>-294000</v>
          </cell>
          <cell r="K20">
            <v>-294000</v>
          </cell>
          <cell r="L20">
            <v>-294000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4E54F-4396-4538-82A5-34DC2E8DAB8B}">
  <sheetPr codeName="Sheet1">
    <tabColor rgb="FF002060"/>
  </sheetPr>
  <dimension ref="B1"/>
  <sheetViews>
    <sheetView showGridLines="0" workbookViewId="0">
      <selection activeCell="B2" sqref="B2"/>
    </sheetView>
  </sheetViews>
  <sheetFormatPr defaultRowHeight="12" x14ac:dyDescent="0.2"/>
  <cols>
    <col min="1" max="1" width="2.28515625" style="3" customWidth="1"/>
    <col min="2" max="16384" width="9.140625" style="3"/>
  </cols>
  <sheetData>
    <row r="1" spans="2:2" s="1" customFormat="1" ht="15.75" x14ac:dyDescent="0.25">
      <c r="B1" s="1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B2CF-9706-43D3-9252-8DC701C42F1B}">
  <sheetPr codeName="Sheet4">
    <tabColor rgb="FF002060"/>
  </sheetPr>
  <dimension ref="A1:R26"/>
  <sheetViews>
    <sheetView showGridLines="0" workbookViewId="0">
      <selection activeCell="Q11" sqref="Q11"/>
    </sheetView>
  </sheetViews>
  <sheetFormatPr defaultRowHeight="12" x14ac:dyDescent="0.2"/>
  <cols>
    <col min="1" max="1" width="2.28515625" style="3" customWidth="1"/>
    <col min="2" max="2" width="31.85546875" style="3" bestFit="1" customWidth="1"/>
    <col min="3" max="3" width="11.5703125" style="3" bestFit="1" customWidth="1"/>
    <col min="4" max="6" width="9.140625" style="3"/>
    <col min="7" max="7" width="10.5703125" style="3" bestFit="1" customWidth="1"/>
    <col min="8" max="8" width="2.28515625" style="3" customWidth="1"/>
    <col min="9" max="13" width="9.140625" style="3"/>
    <col min="14" max="14" width="2.28515625" style="3" customWidth="1"/>
    <col min="15" max="15" width="21" style="2" bestFit="1" customWidth="1"/>
    <col min="16" max="16" width="24.7109375" style="3" bestFit="1" customWidth="1"/>
    <col min="17" max="16384" width="9.140625" style="3"/>
  </cols>
  <sheetData>
    <row r="1" spans="2:17" s="1" customFormat="1" ht="15.75" x14ac:dyDescent="0.25">
      <c r="B1" s="1" t="s">
        <v>0</v>
      </c>
    </row>
    <row r="3" spans="2:17" x14ac:dyDescent="0.2">
      <c r="B3" s="2"/>
      <c r="C3" s="2">
        <v>2022</v>
      </c>
      <c r="D3" s="2">
        <v>2022</v>
      </c>
      <c r="E3" s="2">
        <v>2022</v>
      </c>
      <c r="F3" s="2">
        <v>2022</v>
      </c>
      <c r="G3" s="2">
        <v>2022</v>
      </c>
      <c r="I3" s="2">
        <v>2023</v>
      </c>
      <c r="J3" s="2">
        <v>2023</v>
      </c>
      <c r="K3" s="2">
        <v>2023</v>
      </c>
      <c r="L3" s="2">
        <v>2023</v>
      </c>
      <c r="M3" s="2">
        <v>2023</v>
      </c>
      <c r="O3" s="2" t="s">
        <v>26</v>
      </c>
      <c r="P3" s="2" t="s">
        <v>27</v>
      </c>
      <c r="Q3" s="2" t="s">
        <v>33</v>
      </c>
    </row>
    <row r="4" spans="2:17" ht="12.75" thickBot="1" x14ac:dyDescent="0.25">
      <c r="B4" s="4"/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I4" s="5" t="s">
        <v>1</v>
      </c>
      <c r="J4" s="5" t="s">
        <v>2</v>
      </c>
      <c r="K4" s="5" t="s">
        <v>3</v>
      </c>
      <c r="L4" s="5" t="s">
        <v>4</v>
      </c>
      <c r="M4" s="5" t="s">
        <v>6</v>
      </c>
      <c r="O4" s="5"/>
      <c r="P4" s="5"/>
      <c r="Q4" s="5"/>
    </row>
    <row r="5" spans="2:17" x14ac:dyDescent="0.2">
      <c r="B5" s="6" t="s">
        <v>7</v>
      </c>
      <c r="C5" s="7"/>
      <c r="D5" s="7"/>
      <c r="E5" s="7"/>
      <c r="F5" s="7"/>
      <c r="G5" s="8"/>
      <c r="I5" s="7"/>
      <c r="J5" s="7"/>
      <c r="K5" s="7"/>
      <c r="L5" s="7"/>
      <c r="M5" s="8"/>
      <c r="P5" s="25"/>
      <c r="Q5" s="30" t="str">
        <f>IF(ISNUMBER($P5),$M5-$P5,"")</f>
        <v/>
      </c>
    </row>
    <row r="6" spans="2:17" x14ac:dyDescent="0.2">
      <c r="B6" s="9" t="s">
        <v>8</v>
      </c>
      <c r="C6" s="10">
        <f>'[1]3.1 Direct Material Budget'!C20</f>
        <v>-259417.5</v>
      </c>
      <c r="D6" s="10">
        <f>'[1]3.1 Direct Material Budget'!D20</f>
        <v>-499395</v>
      </c>
      <c r="E6" s="10">
        <f>'[1]3.1 Direct Material Budget'!E20</f>
        <v>-579150</v>
      </c>
      <c r="F6" s="10">
        <f>'[1]3.1 Direct Material Budget'!F20</f>
        <v>-55500</v>
      </c>
      <c r="G6" s="11">
        <f>SUM(C6:F6)</f>
        <v>-1393462.5</v>
      </c>
      <c r="I6" s="10">
        <f>'[1]3.1 Direct Material Budget'!I20</f>
        <v>-346473.51999999996</v>
      </c>
      <c r="J6" s="10">
        <f>'[1]3.1 Direct Material Budget'!J20</f>
        <v>-559050.48</v>
      </c>
      <c r="K6" s="10">
        <f>'[1]3.1 Direct Material Budget'!K20</f>
        <v>-697811.79999999993</v>
      </c>
      <c r="L6" s="10">
        <f>'[1]3.1 Direct Material Budget'!L20</f>
        <v>-65568.639999999985</v>
      </c>
      <c r="M6" s="11">
        <f>SUM(I6:L6)</f>
        <v>-1668904.4399999997</v>
      </c>
      <c r="O6" s="2" t="s">
        <v>23</v>
      </c>
      <c r="Q6" s="30" t="str">
        <f t="shared" ref="Q6:Q12" si="0">IF(ISNUMBER($P6),$M6-$P6,"")</f>
        <v/>
      </c>
    </row>
    <row r="7" spans="2:17" x14ac:dyDescent="0.2">
      <c r="B7" s="9" t="s">
        <v>9</v>
      </c>
      <c r="C7" s="10">
        <f>INDEX('3. Cost of Goods Sold Budget'!$B$4:$M$12,MATCH($B$7,'3. Cost of Goods Sold Budget'!$B$4:$B$12,0),MATCH("Forecast",'3. Cost of Goods Sold Budget'!$B$4:$M$4,0))</f>
        <v>-4806328.1257142844</v>
      </c>
      <c r="D7" s="10">
        <f>'[1]3.2 Direct Labor Budget'!D24</f>
        <v>-1437840</v>
      </c>
      <c r="E7" s="10">
        <f>'[1]3.2 Direct Labor Budget'!E24</f>
        <v>-1666800</v>
      </c>
      <c r="F7" s="10">
        <f>'[1]3.2 Direct Labor Budget'!F24</f>
        <v>-162000</v>
      </c>
      <c r="G7" s="11">
        <f>SUM(C7:F7)</f>
        <v>-8072968.1257142844</v>
      </c>
      <c r="I7" s="10">
        <f>'[1]3.2 Direct Labor Budget'!I24</f>
        <v>-997127.29142857122</v>
      </c>
      <c r="J7" s="10">
        <f>'[1]3.2 Direct Labor Budget'!J24</f>
        <v>-1609296.7085714284</v>
      </c>
      <c r="K7" s="10">
        <f>'[1]3.2 Direct Labor Budget'!K24</f>
        <v>-2009154.7999999998</v>
      </c>
      <c r="L7" s="10">
        <f>'[1]3.2 Direct Labor Budget'!L24</f>
        <v>-190749.32571428566</v>
      </c>
      <c r="M7" s="11">
        <f>SUM(I7:L7)</f>
        <v>-4806328.1257142844</v>
      </c>
      <c r="O7" s="2" t="s">
        <v>23</v>
      </c>
      <c r="Q7" s="30" t="str">
        <f t="shared" si="0"/>
        <v/>
      </c>
    </row>
    <row r="8" spans="2:17" x14ac:dyDescent="0.2">
      <c r="C8" s="10"/>
      <c r="D8" s="10"/>
      <c r="E8" s="10"/>
      <c r="F8" s="10"/>
      <c r="Q8" s="30" t="str">
        <f t="shared" si="0"/>
        <v/>
      </c>
    </row>
    <row r="9" spans="2:17" x14ac:dyDescent="0.2">
      <c r="B9" s="12" t="s">
        <v>10</v>
      </c>
      <c r="C9" s="10"/>
      <c r="D9" s="10"/>
      <c r="E9" s="10"/>
      <c r="F9" s="10"/>
      <c r="Q9" s="30" t="str">
        <f t="shared" si="0"/>
        <v/>
      </c>
    </row>
    <row r="10" spans="2:17" x14ac:dyDescent="0.2">
      <c r="B10" s="13" t="s">
        <v>11</v>
      </c>
      <c r="C10" s="10" t="str">
        <f>INDEX('3. Cost of Goods Sold Budget'!$B$5:$Q$12,MATCH($B$10,'3. Cost of Goods Sold Budget'!$B$5:$B$12,0),MATCH("Variable Portion of Mixed Cost",'3. Cost of Goods Sold Budget'!$B$3:$Q$3,0))</f>
        <v/>
      </c>
      <c r="D10" s="10">
        <f>'[1]3.3 Overhead Budget'!D12</f>
        <v>-100000</v>
      </c>
      <c r="E10" s="10">
        <f>'[1]3.3 Overhead Budget'!E12</f>
        <v>-100000</v>
      </c>
      <c r="F10" s="10">
        <f>'[1]3.3 Overhead Budget'!F12</f>
        <v>-100000</v>
      </c>
      <c r="G10" s="11">
        <f>SUM(C10:F10)</f>
        <v>-300000</v>
      </c>
      <c r="H10" s="13"/>
      <c r="I10" s="10">
        <f>'[1]3.3 Overhead Budget'!I12</f>
        <v>-120000</v>
      </c>
      <c r="J10" s="10">
        <f>'[1]3.3 Overhead Budget'!J12</f>
        <v>-120000</v>
      </c>
      <c r="K10" s="10">
        <f>'[1]3.3 Overhead Budget'!K12</f>
        <v>-120000</v>
      </c>
      <c r="L10" s="10">
        <f>'[1]3.3 Overhead Budget'!L12</f>
        <v>-120000</v>
      </c>
      <c r="M10" s="11">
        <f>SUM(I10:L10)</f>
        <v>-480000</v>
      </c>
      <c r="N10" s="13"/>
      <c r="O10" s="2" t="s">
        <v>24</v>
      </c>
      <c r="Q10" s="30" t="str">
        <f t="shared" si="0"/>
        <v/>
      </c>
    </row>
    <row r="11" spans="2:17" x14ac:dyDescent="0.2">
      <c r="B11" s="13" t="s">
        <v>12</v>
      </c>
      <c r="C11" s="10">
        <f>1+1</f>
        <v>2</v>
      </c>
      <c r="D11" s="10">
        <f>'[1]3.3 Overhead Budget'!D17</f>
        <v>-59910</v>
      </c>
      <c r="E11" s="10">
        <f>'[1]3.3 Overhead Budget'!E17</f>
        <v>-69450</v>
      </c>
      <c r="F11" s="10">
        <f>'[1]3.3 Overhead Budget'!F17</f>
        <v>-6750</v>
      </c>
      <c r="G11" s="11">
        <f>SUM(C11:F11)</f>
        <v>-136108</v>
      </c>
      <c r="H11" s="13"/>
      <c r="I11" s="10">
        <f>'[1]3.3 Overhead Budget'!I17</f>
        <v>-41546.970476190472</v>
      </c>
      <c r="J11" s="10">
        <f>'[1]3.3 Overhead Budget'!J17</f>
        <v>-67054.029523809513</v>
      </c>
      <c r="K11" s="10">
        <f>'[1]3.3 Overhead Budget'!K17</f>
        <v>-83714.783333333326</v>
      </c>
      <c r="L11" s="10">
        <f>'[1]3.3 Overhead Budget'!L17</f>
        <v>-7947.8885714285689</v>
      </c>
      <c r="M11" s="11">
        <f>SUM(I11:L11)</f>
        <v>-200263.6719047619</v>
      </c>
      <c r="N11" s="13"/>
      <c r="O11" s="2" t="s">
        <v>25</v>
      </c>
      <c r="P11" s="11">
        <v>-40000</v>
      </c>
      <c r="Q11" s="30">
        <f t="shared" si="0"/>
        <v>-160263.6719047619</v>
      </c>
    </row>
    <row r="12" spans="2:17" x14ac:dyDescent="0.2">
      <c r="B12" s="13" t="s">
        <v>13</v>
      </c>
      <c r="C12" s="10">
        <f>'[1]3.3 Overhead Budget'!C19</f>
        <v>-102000</v>
      </c>
      <c r="D12" s="10">
        <f>'[1]3.3 Overhead Budget'!D19</f>
        <v>-114583.35</v>
      </c>
      <c r="E12" s="10">
        <f>'[1]3.3 Overhead Budget'!E19</f>
        <v>-130000</v>
      </c>
      <c r="F12" s="10">
        <f>'[1]3.3 Overhead Budget'!F19</f>
        <v>-140000</v>
      </c>
      <c r="G12" s="11">
        <f>SUM(C12:F12)</f>
        <v>-486583.35</v>
      </c>
      <c r="H12" s="13"/>
      <c r="I12" s="10">
        <f>'[1]3.3 Overhead Budget'!I19</f>
        <v>-137693.8282306412</v>
      </c>
      <c r="J12" s="10">
        <f>'[1]3.3 Overhead Budget'!J19</f>
        <v>-157440.83445501066</v>
      </c>
      <c r="K12" s="10">
        <f>'[1]3.3 Overhead Budget'!K19</f>
        <v>-186587.72685605849</v>
      </c>
      <c r="L12" s="10">
        <f>'[1]3.3 Overhead Budget'!L19</f>
        <v>-223177.8993776679</v>
      </c>
      <c r="M12" s="11">
        <f>SUM(I12:L12)</f>
        <v>-704900.2889193783</v>
      </c>
      <c r="N12" s="13"/>
      <c r="O12" s="2" t="s">
        <v>24</v>
      </c>
      <c r="Q12" s="30" t="str">
        <f t="shared" si="0"/>
        <v/>
      </c>
    </row>
    <row r="13" spans="2:17" ht="12.75" thickBot="1" x14ac:dyDescent="0.25">
      <c r="B13" s="14" t="s">
        <v>14</v>
      </c>
      <c r="C13" s="26" t="e">
        <f>INDEX('3. Cost of Goods Sold Budget'!$B$5:$Q$12,MATCH($B$13,'3. Cost of Goods Sold Budget'!$B$4:$B$12,0),MATCH("Variable Portion of Mixed Cost",'3. Cost of Goods Sold Budget'!$B$3:$Q$3,0))</f>
        <v>#N/A</v>
      </c>
      <c r="D13" s="15">
        <f t="shared" ref="D13:F13" si="1">SUM(D6:D7)+SUM(D10:D12)</f>
        <v>-2211728.35</v>
      </c>
      <c r="E13" s="15">
        <f t="shared" si="1"/>
        <v>-2545400</v>
      </c>
      <c r="F13" s="15">
        <f t="shared" si="1"/>
        <v>-464250</v>
      </c>
      <c r="G13" s="15">
        <f>SUM(G6:G7)+SUM(G10:G12)</f>
        <v>-10389121.975714283</v>
      </c>
      <c r="I13" s="15">
        <f>SUM(I6:I7)+SUM(I10:I12)</f>
        <v>-1642841.6101354028</v>
      </c>
      <c r="J13" s="15">
        <f t="shared" ref="J13" si="2">SUM(J6:J7)+SUM(J10:J12)</f>
        <v>-2512842.0525502488</v>
      </c>
      <c r="K13" s="15">
        <f t="shared" ref="K13" si="3">SUM(K6:K7)+SUM(K10:K12)</f>
        <v>-3097269.1101893913</v>
      </c>
      <c r="L13" s="15">
        <f t="shared" ref="L13" si="4">SUM(L6:L7)+SUM(L10:L12)</f>
        <v>-607443.75366338214</v>
      </c>
      <c r="M13" s="15">
        <f>SUM(M6:M7)+SUM(M10:M12)</f>
        <v>-7860396.5265384242</v>
      </c>
    </row>
    <row r="15" spans="2:17" x14ac:dyDescent="0.2">
      <c r="G15" s="16"/>
      <c r="M15" s="16"/>
    </row>
    <row r="21" spans="1:18" x14ac:dyDescent="0.2">
      <c r="R21" s="9"/>
    </row>
    <row r="22" spans="1:18" x14ac:dyDescent="0.2">
      <c r="P22" s="3" cm="1">
        <f t="array" aca="1" ref="P22" ca="1">COLUMN(INDIRECT("B1"))</f>
        <v>2</v>
      </c>
    </row>
    <row r="23" spans="1:18" x14ac:dyDescent="0.2">
      <c r="A23" s="2"/>
      <c r="O23" s="3"/>
    </row>
    <row r="24" spans="1:18" x14ac:dyDescent="0.2">
      <c r="A24" s="2"/>
      <c r="O24" s="3"/>
    </row>
    <row r="25" spans="1:18" x14ac:dyDescent="0.2">
      <c r="A25" s="2"/>
      <c r="O25" s="3"/>
    </row>
    <row r="26" spans="1:18" x14ac:dyDescent="0.2">
      <c r="B26" s="13"/>
      <c r="C26" s="10"/>
      <c r="D26" s="10"/>
      <c r="E26" s="10"/>
      <c r="F26" s="10"/>
      <c r="G26" s="11"/>
      <c r="H26" s="13"/>
      <c r="I26" s="10"/>
      <c r="J26" s="10"/>
      <c r="K26" s="10"/>
      <c r="L26" s="10"/>
      <c r="M26" s="11"/>
      <c r="N26" s="1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BEE60-D9FA-42A1-9459-B3FDF79627DB}">
  <sheetPr codeName="Sheet7">
    <tabColor rgb="FF002060"/>
  </sheetPr>
  <dimension ref="B1:R27"/>
  <sheetViews>
    <sheetView showGridLines="0" workbookViewId="0">
      <selection activeCell="B1" sqref="B1"/>
    </sheetView>
  </sheetViews>
  <sheetFormatPr defaultRowHeight="12" x14ac:dyDescent="0.2"/>
  <cols>
    <col min="1" max="1" width="2.28515625" style="3" customWidth="1"/>
    <col min="2" max="2" width="12.140625" style="3" bestFit="1" customWidth="1"/>
    <col min="3" max="3" width="21.5703125" style="3" bestFit="1" customWidth="1"/>
    <col min="4" max="4" width="13.42578125" style="3" bestFit="1" customWidth="1"/>
    <col min="5" max="5" width="12.140625" style="3" bestFit="1" customWidth="1"/>
    <col min="6" max="6" width="10" style="3" bestFit="1" customWidth="1"/>
    <col min="7" max="7" width="11" style="3" bestFit="1" customWidth="1"/>
    <col min="8" max="8" width="2.28515625" style="3" customWidth="1"/>
    <col min="9" max="10" width="10" style="3" bestFit="1" customWidth="1"/>
    <col min="11" max="11" width="11" style="3" bestFit="1" customWidth="1"/>
    <col min="12" max="12" width="10" style="3" bestFit="1" customWidth="1"/>
    <col min="13" max="13" width="11" style="3" bestFit="1" customWidth="1"/>
    <col min="14" max="14" width="2.28515625" style="3" customWidth="1"/>
    <col min="15" max="15" width="21" style="2" bestFit="1" customWidth="1"/>
    <col min="16" max="16" width="23.42578125" style="3" bestFit="1" customWidth="1"/>
    <col min="17" max="17" width="26" style="3" bestFit="1" customWidth="1"/>
    <col min="18" max="16384" width="9.140625" style="3"/>
  </cols>
  <sheetData>
    <row r="1" spans="2:17" s="1" customFormat="1" ht="15.75" x14ac:dyDescent="0.25">
      <c r="B1" s="1" t="s">
        <v>15</v>
      </c>
    </row>
    <row r="3" spans="2:17" x14ac:dyDescent="0.2">
      <c r="B3" s="2"/>
      <c r="C3" s="2">
        <v>2022</v>
      </c>
      <c r="D3" s="2">
        <v>2022</v>
      </c>
      <c r="E3" s="2" t="s">
        <v>30</v>
      </c>
      <c r="F3" s="2">
        <v>2022</v>
      </c>
      <c r="G3" s="2">
        <v>2022</v>
      </c>
      <c r="I3" s="2">
        <v>2023</v>
      </c>
      <c r="J3" s="2">
        <v>2023</v>
      </c>
      <c r="K3" s="2">
        <v>2023</v>
      </c>
      <c r="L3" s="2">
        <v>2023</v>
      </c>
      <c r="M3" s="2">
        <v>2023</v>
      </c>
      <c r="O3" s="2" t="s">
        <v>26</v>
      </c>
      <c r="P3" s="2" t="s">
        <v>27</v>
      </c>
      <c r="Q3" s="2" t="s">
        <v>33</v>
      </c>
    </row>
    <row r="4" spans="2:17" ht="12.75" thickBot="1" x14ac:dyDescent="0.25">
      <c r="B4" s="4"/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I4" s="5" t="s">
        <v>1</v>
      </c>
      <c r="J4" s="5" t="s">
        <v>2</v>
      </c>
      <c r="K4" s="5" t="s">
        <v>3</v>
      </c>
      <c r="L4" s="5" t="s">
        <v>4</v>
      </c>
      <c r="M4" s="5" t="s">
        <v>6</v>
      </c>
      <c r="O4" s="5"/>
      <c r="P4" s="5"/>
      <c r="Q4" s="5"/>
    </row>
    <row r="5" spans="2:17" x14ac:dyDescent="0.2">
      <c r="B5" s="12" t="s">
        <v>31</v>
      </c>
      <c r="C5" s="7">
        <f>'[1]1. Sales Budget'!C10</f>
        <v>225000</v>
      </c>
      <c r="D5" s="7">
        <f>'[1]1. Sales Budget'!D10</f>
        <v>375000</v>
      </c>
      <c r="E5" s="8">
        <f>'[1]1. Sales Budget'!E10</f>
        <v>450000</v>
      </c>
      <c r="F5" s="8">
        <f>'[1]1. Sales Budget'!F10</f>
        <v>105000</v>
      </c>
      <c r="G5" s="8">
        <f t="shared" ref="G5" si="0">SUM(C5:F5)</f>
        <v>1155000</v>
      </c>
      <c r="H5" s="9"/>
      <c r="I5" s="7">
        <f>'[1]1. Sales Budget'!I10</f>
        <v>251600</v>
      </c>
      <c r="J5" s="7">
        <f>'[1]1. Sales Budget'!J10</f>
        <v>420000</v>
      </c>
      <c r="K5" s="7">
        <f>'[1]1. Sales Budget'!K10</f>
        <v>539000</v>
      </c>
      <c r="L5" s="7">
        <f>'[1]1. Sales Budget'!L10</f>
        <v>120199.99999999999</v>
      </c>
      <c r="M5" s="8">
        <f t="shared" ref="M5" si="1">SUM(I5:L5)</f>
        <v>1330800</v>
      </c>
      <c r="N5" s="9"/>
      <c r="Q5" s="30" t="str">
        <f>IF(ISNUMBER($P5),$M5-$P5,"")</f>
        <v/>
      </c>
    </row>
    <row r="6" spans="2:17" x14ac:dyDescent="0.2">
      <c r="B6" s="12" t="s">
        <v>29</v>
      </c>
      <c r="C6" s="17">
        <f>'[1]1. Sales Budget'!C21</f>
        <v>4125000</v>
      </c>
      <c r="D6" s="17">
        <f>'[1]1. Sales Budget'!D21</f>
        <v>6875000</v>
      </c>
      <c r="E6" s="18">
        <f>'[1]1. Sales Budget'!E21</f>
        <v>8250000</v>
      </c>
      <c r="F6" s="18">
        <f>'[1]1. Sales Budget'!F21</f>
        <v>1925000</v>
      </c>
      <c r="G6" s="18">
        <f>SUM(C6:F6)</f>
        <v>21175000</v>
      </c>
      <c r="H6" s="9"/>
      <c r="I6" s="17">
        <f>'[1]1. Sales Budget'!I21</f>
        <v>4738466.666666666</v>
      </c>
      <c r="J6" s="17">
        <f>'[1]1. Sales Budget'!J21</f>
        <v>7910000</v>
      </c>
      <c r="K6" s="17">
        <f>'[1]1. Sales Budget'!K21</f>
        <v>10151166.666666666</v>
      </c>
      <c r="L6" s="17">
        <f>'[1]1. Sales Budget'!L21</f>
        <v>2263766.666666666</v>
      </c>
      <c r="M6" s="18">
        <f>SUM(I6:L6)</f>
        <v>25063400</v>
      </c>
      <c r="N6" s="9"/>
      <c r="Q6" s="30" t="str">
        <f t="shared" ref="Q6:Q18" si="2">IF(ISNUMBER($P6),$M6-$P6,"")</f>
        <v/>
      </c>
    </row>
    <row r="7" spans="2:17" x14ac:dyDescent="0.2">
      <c r="B7" s="12"/>
      <c r="I7" s="17"/>
      <c r="J7" s="17"/>
      <c r="K7" s="17"/>
      <c r="L7" s="17"/>
      <c r="M7" s="18"/>
      <c r="Q7" s="30" t="str">
        <f t="shared" si="2"/>
        <v/>
      </c>
    </row>
    <row r="8" spans="2:17" x14ac:dyDescent="0.2">
      <c r="B8" s="12" t="s">
        <v>18</v>
      </c>
      <c r="C8" s="10">
        <v>-165000</v>
      </c>
      <c r="D8" s="10">
        <v>-275000</v>
      </c>
      <c r="E8" s="10">
        <v>-330000</v>
      </c>
      <c r="F8" s="10">
        <v>-77000</v>
      </c>
      <c r="G8" s="11">
        <f>SUM(C8:F8)</f>
        <v>-847000</v>
      </c>
      <c r="I8" s="10">
        <f>I$6*I9</f>
        <v>-189538.66666666666</v>
      </c>
      <c r="J8" s="10">
        <f t="shared" ref="J8:L8" si="3">J$6*J9</f>
        <v>-316400</v>
      </c>
      <c r="K8" s="10">
        <f t="shared" si="3"/>
        <v>-406046.66666666663</v>
      </c>
      <c r="L8" s="10">
        <f t="shared" si="3"/>
        <v>-90550.666666666642</v>
      </c>
      <c r="M8" s="11">
        <f>SUM(I8:L8)</f>
        <v>-1002535.9999999999</v>
      </c>
      <c r="O8" s="2" t="s">
        <v>23</v>
      </c>
      <c r="Q8" s="30" t="str">
        <f t="shared" si="2"/>
        <v/>
      </c>
    </row>
    <row r="9" spans="2:17" x14ac:dyDescent="0.2">
      <c r="B9" s="9" t="s">
        <v>16</v>
      </c>
      <c r="C9" s="19">
        <f>C8/C$6</f>
        <v>-0.04</v>
      </c>
      <c r="D9" s="19">
        <f t="shared" ref="D9" si="4">D8/D$6</f>
        <v>-0.04</v>
      </c>
      <c r="E9" s="19">
        <f t="shared" ref="E9:F9" si="5">E8/E$6</f>
        <v>-0.04</v>
      </c>
      <c r="F9" s="19">
        <f t="shared" si="5"/>
        <v>-0.04</v>
      </c>
      <c r="G9" s="20">
        <f>G8/G$6</f>
        <v>-0.04</v>
      </c>
      <c r="I9" s="21">
        <f>G9</f>
        <v>-0.04</v>
      </c>
      <c r="J9" s="21">
        <f>I9</f>
        <v>-0.04</v>
      </c>
      <c r="K9" s="21">
        <f t="shared" ref="K9:L9" si="6">J9</f>
        <v>-0.04</v>
      </c>
      <c r="L9" s="21">
        <f t="shared" si="6"/>
        <v>-0.04</v>
      </c>
      <c r="M9" s="22">
        <f>M8/M6</f>
        <v>-3.9999999999999994E-2</v>
      </c>
      <c r="Q9" s="30" t="str">
        <f t="shared" si="2"/>
        <v/>
      </c>
    </row>
    <row r="10" spans="2:17" x14ac:dyDescent="0.2">
      <c r="B10" s="9"/>
      <c r="C10" s="19"/>
      <c r="D10" s="19"/>
      <c r="E10" s="19"/>
      <c r="F10" s="19"/>
      <c r="G10" s="20"/>
      <c r="I10" s="21"/>
      <c r="J10" s="21"/>
      <c r="K10" s="21"/>
      <c r="L10" s="21"/>
      <c r="M10" s="22"/>
      <c r="Q10" s="30" t="str">
        <f t="shared" si="2"/>
        <v/>
      </c>
    </row>
    <row r="11" spans="2:17" x14ac:dyDescent="0.2">
      <c r="B11" s="12" t="s">
        <v>19</v>
      </c>
      <c r="C11" s="10">
        <v>-82500</v>
      </c>
      <c r="D11" s="10">
        <v>-275000</v>
      </c>
      <c r="E11" s="10">
        <v>-330000</v>
      </c>
      <c r="F11" s="10">
        <v>-57750</v>
      </c>
      <c r="G11" s="11">
        <f>SUM(C11:F11)</f>
        <v>-745250</v>
      </c>
      <c r="I11" s="10">
        <f>I$6*I12</f>
        <v>-94769.333333333328</v>
      </c>
      <c r="J11" s="10">
        <f t="shared" ref="J11:L11" si="7">J$6*J12</f>
        <v>-316400</v>
      </c>
      <c r="K11" s="10">
        <f t="shared" si="7"/>
        <v>-406046.66666666663</v>
      </c>
      <c r="L11" s="10">
        <f t="shared" si="7"/>
        <v>-67912.999999999985</v>
      </c>
      <c r="M11" s="11">
        <f>SUM(I11:L11)</f>
        <v>-885129</v>
      </c>
      <c r="O11" s="2" t="s">
        <v>23</v>
      </c>
      <c r="Q11" s="30" t="str">
        <f t="shared" si="2"/>
        <v/>
      </c>
    </row>
    <row r="12" spans="2:17" x14ac:dyDescent="0.2">
      <c r="B12" s="12" t="s">
        <v>34</v>
      </c>
      <c r="C12" s="19">
        <f>C11/C$6</f>
        <v>-0.02</v>
      </c>
      <c r="D12" s="19">
        <f t="shared" ref="D12" si="8">D11/D$6</f>
        <v>-0.04</v>
      </c>
      <c r="E12" s="19">
        <f t="shared" ref="E12:F12" si="9">E11/E$6</f>
        <v>-0.04</v>
      </c>
      <c r="F12" s="19">
        <f t="shared" si="9"/>
        <v>-0.03</v>
      </c>
      <c r="G12" s="20">
        <f>G11/G$6</f>
        <v>-3.5194805194805195E-2</v>
      </c>
      <c r="I12" s="21">
        <f>C12</f>
        <v>-0.02</v>
      </c>
      <c r="J12" s="21">
        <f t="shared" ref="J12:L12" si="10">D12</f>
        <v>-0.04</v>
      </c>
      <c r="K12" s="21">
        <f t="shared" si="10"/>
        <v>-0.04</v>
      </c>
      <c r="L12" s="21">
        <f t="shared" si="10"/>
        <v>-0.03</v>
      </c>
      <c r="M12" s="20">
        <f>M11/M$6</f>
        <v>-3.5315599639314695E-2</v>
      </c>
      <c r="Q12" s="30" t="str">
        <f t="shared" si="2"/>
        <v/>
      </c>
    </row>
    <row r="13" spans="2:17" x14ac:dyDescent="0.2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Q13" s="30" t="str">
        <f t="shared" si="2"/>
        <v/>
      </c>
    </row>
    <row r="14" spans="2:17" x14ac:dyDescent="0.2">
      <c r="B14" s="12" t="s">
        <v>20</v>
      </c>
      <c r="C14" s="23">
        <f>'[1]4.1 Payroll Budget'!C20</f>
        <v>-280000</v>
      </c>
      <c r="D14" s="23">
        <f>'[1]4.1 Payroll Budget'!D20</f>
        <v>-280000</v>
      </c>
      <c r="E14" s="23">
        <f>'[1]4.1 Payroll Budget'!E20</f>
        <v>-280000</v>
      </c>
      <c r="F14" s="23">
        <f>'[1]4.1 Payroll Budget'!F20</f>
        <v>-280000</v>
      </c>
      <c r="G14" s="11">
        <f>SUM(C14:F14)</f>
        <v>-1120000</v>
      </c>
      <c r="H14" s="9"/>
      <c r="I14" s="23">
        <f>'[1]4.1 Payroll Budget'!I20</f>
        <v>-294000</v>
      </c>
      <c r="J14" s="23">
        <f>'[1]4.1 Payroll Budget'!J20</f>
        <v>-294000</v>
      </c>
      <c r="K14" s="23">
        <f>'[1]4.1 Payroll Budget'!K20</f>
        <v>-294000</v>
      </c>
      <c r="L14" s="23">
        <f>'[1]4.1 Payroll Budget'!L20</f>
        <v>-294000</v>
      </c>
      <c r="M14" s="11">
        <f>SUM(I14:L14)</f>
        <v>-1176000</v>
      </c>
      <c r="N14" s="9"/>
      <c r="O14" s="2" t="s">
        <v>24</v>
      </c>
      <c r="Q14" s="30" t="str">
        <f t="shared" si="2"/>
        <v/>
      </c>
    </row>
    <row r="15" spans="2:17" x14ac:dyDescent="0.2">
      <c r="B15" s="9" t="s">
        <v>16</v>
      </c>
      <c r="C15" s="19">
        <f>C14/C$6</f>
        <v>-6.7878787878787886E-2</v>
      </c>
      <c r="D15" s="19">
        <f>D14/D$6</f>
        <v>-4.072727272727273E-2</v>
      </c>
      <c r="E15" s="19">
        <f>E14/E$6</f>
        <v>-3.3939393939393943E-2</v>
      </c>
      <c r="F15" s="19">
        <f>F14/F$6</f>
        <v>-0.14545454545454545</v>
      </c>
      <c r="G15" s="20">
        <f>G14/G$6</f>
        <v>-5.2892561983471073E-2</v>
      </c>
      <c r="I15" s="21">
        <f>C15</f>
        <v>-6.7878787878787886E-2</v>
      </c>
      <c r="J15" s="21">
        <f t="shared" ref="J15:L15" si="11">D15</f>
        <v>-4.072727272727273E-2</v>
      </c>
      <c r="K15" s="21">
        <f t="shared" si="11"/>
        <v>-3.3939393939393943E-2</v>
      </c>
      <c r="L15" s="21">
        <f t="shared" si="11"/>
        <v>-0.14545454545454545</v>
      </c>
      <c r="M15" s="20">
        <f>M14/M$6</f>
        <v>-4.6921008322893143E-2</v>
      </c>
      <c r="N15" s="9"/>
      <c r="Q15" s="30" t="str">
        <f t="shared" si="2"/>
        <v/>
      </c>
    </row>
    <row r="16" spans="2:17" x14ac:dyDescent="0.2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Q16" s="30" t="str">
        <f t="shared" si="2"/>
        <v/>
      </c>
    </row>
    <row r="17" spans="2:18" x14ac:dyDescent="0.2">
      <c r="B17" s="12" t="s">
        <v>21</v>
      </c>
      <c r="C17" s="23">
        <v>-120000</v>
      </c>
      <c r="D17" s="23">
        <v>-120000</v>
      </c>
      <c r="E17" s="23">
        <v>-120000</v>
      </c>
      <c r="F17" s="23">
        <v>-120000</v>
      </c>
      <c r="G17" s="11">
        <f>SUM(C17:F17)</f>
        <v>-480000</v>
      </c>
      <c r="H17" s="9"/>
      <c r="I17" s="23">
        <f>F17</f>
        <v>-120000</v>
      </c>
      <c r="J17" s="23">
        <f>I17</f>
        <v>-120000</v>
      </c>
      <c r="K17" s="23">
        <f t="shared" ref="K17:L17" si="12">J17</f>
        <v>-120000</v>
      </c>
      <c r="L17" s="23">
        <f t="shared" si="12"/>
        <v>-120000</v>
      </c>
      <c r="M17" s="11">
        <f>SUM(I17:L17)</f>
        <v>-480000</v>
      </c>
      <c r="N17" s="9"/>
      <c r="O17" s="2" t="s">
        <v>24</v>
      </c>
      <c r="Q17" s="30" t="str">
        <f t="shared" si="2"/>
        <v/>
      </c>
    </row>
    <row r="18" spans="2:18" x14ac:dyDescent="0.2">
      <c r="B18" s="9" t="s">
        <v>16</v>
      </c>
      <c r="C18" s="19">
        <f>C17/C$6</f>
        <v>-2.9090909090909091E-2</v>
      </c>
      <c r="D18" s="19">
        <f>D17/D$6</f>
        <v>-1.7454545454545455E-2</v>
      </c>
      <c r="E18" s="19">
        <f>E17/E$6</f>
        <v>-1.4545454545454545E-2</v>
      </c>
      <c r="F18" s="19">
        <f>F17/F$6</f>
        <v>-6.2337662337662338E-2</v>
      </c>
      <c r="G18" s="20">
        <f>G17/G$6</f>
        <v>-2.2668240850059033E-2</v>
      </c>
      <c r="I18" s="21">
        <f>C18</f>
        <v>-2.9090909090909091E-2</v>
      </c>
      <c r="J18" s="21">
        <f t="shared" ref="J18:L18" si="13">D18</f>
        <v>-1.7454545454545455E-2</v>
      </c>
      <c r="K18" s="21">
        <f t="shared" si="13"/>
        <v>-1.4545454545454545E-2</v>
      </c>
      <c r="L18" s="21">
        <f t="shared" si="13"/>
        <v>-6.2337662337662338E-2</v>
      </c>
      <c r="M18" s="20">
        <f>M17/M$6</f>
        <v>-1.9151431968527814E-2</v>
      </c>
      <c r="N18" s="9"/>
      <c r="Q18" s="30" t="str">
        <f t="shared" si="2"/>
        <v/>
      </c>
    </row>
    <row r="19" spans="2:18" ht="12.75" thickBot="1" x14ac:dyDescent="0.25">
      <c r="B19" s="14" t="s">
        <v>17</v>
      </c>
      <c r="C19" s="15">
        <f>C8+C11+C14+C17</f>
        <v>-647500</v>
      </c>
      <c r="D19" s="15">
        <f t="shared" ref="D19" si="14">D8+D11+D14+D17</f>
        <v>-950000</v>
      </c>
      <c r="E19" s="15">
        <f t="shared" ref="E19:F19" si="15">E8+E11+E14+E17</f>
        <v>-1060000</v>
      </c>
      <c r="F19" s="15">
        <f t="shared" si="15"/>
        <v>-534750</v>
      </c>
      <c r="G19" s="15">
        <f>SUM(C19:F19)</f>
        <v>-3192250</v>
      </c>
      <c r="I19" s="15">
        <f>I8+I11+I14+I17</f>
        <v>-698308</v>
      </c>
      <c r="J19" s="15">
        <f t="shared" ref="J19:L19" si="16">J8+J11+J14+J17</f>
        <v>-1046800</v>
      </c>
      <c r="K19" s="15">
        <f t="shared" si="16"/>
        <v>-1226093.3333333333</v>
      </c>
      <c r="L19" s="15">
        <f t="shared" si="16"/>
        <v>-572463.66666666663</v>
      </c>
      <c r="M19" s="12">
        <f>SUM(I19:L19)</f>
        <v>-3543664.9999999995</v>
      </c>
    </row>
    <row r="24" spans="2:18" x14ac:dyDescent="0.2">
      <c r="R24" s="12"/>
    </row>
    <row r="25" spans="2:18" x14ac:dyDescent="0.2">
      <c r="R25" s="12"/>
    </row>
    <row r="26" spans="2:18" x14ac:dyDescent="0.2">
      <c r="R26" s="12"/>
    </row>
    <row r="27" spans="2:18" x14ac:dyDescent="0.2">
      <c r="R27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23C4-CF6E-4296-8311-30100F1BCEFE}">
  <sheetPr codeName="Sheet2">
    <tabColor rgb="FF002060"/>
  </sheetPr>
  <dimension ref="A1:G47"/>
  <sheetViews>
    <sheetView tabSelected="1" workbookViewId="0">
      <selection activeCell="W9" sqref="W9"/>
    </sheetView>
  </sheetViews>
  <sheetFormatPr defaultRowHeight="15" x14ac:dyDescent="0.25"/>
  <cols>
    <col min="1" max="1" width="2.28515625" style="29" customWidth="1"/>
    <col min="2" max="2" width="23.42578125" style="29" bestFit="1" customWidth="1"/>
    <col min="3" max="3" width="15.85546875" style="29" bestFit="1" customWidth="1"/>
    <col min="4" max="4" width="24.140625" style="29" bestFit="1" customWidth="1"/>
    <col min="5" max="5" width="2.28515625" style="29" customWidth="1"/>
    <col min="6" max="6" width="16.85546875" style="29" bestFit="1" customWidth="1"/>
    <col min="7" max="7" width="15.85546875" style="29" bestFit="1" customWidth="1"/>
    <col min="8" max="16384" width="9.140625" style="29"/>
  </cols>
  <sheetData>
    <row r="1" spans="1:7" ht="15.75" x14ac:dyDescent="0.25">
      <c r="A1" s="28"/>
      <c r="B1" s="27" t="s">
        <v>28</v>
      </c>
    </row>
    <row r="3" spans="1:7" x14ac:dyDescent="0.25">
      <c r="B3" s="12" t="s">
        <v>22</v>
      </c>
      <c r="C3" s="12" t="s">
        <v>22</v>
      </c>
      <c r="D3" s="12" t="s">
        <v>22</v>
      </c>
      <c r="E3" s="12"/>
      <c r="F3" s="12" t="s">
        <v>28</v>
      </c>
      <c r="G3" s="12" t="s">
        <v>28</v>
      </c>
    </row>
    <row r="4" spans="1:7" ht="15.75" thickBot="1" x14ac:dyDescent="0.3">
      <c r="B4" s="4" t="s">
        <v>31</v>
      </c>
      <c r="C4" s="39">
        <f>INDEX('4. SG&amp;A Budget'!$B$4:$M$18,MATCH(B4,'4. SG&amp;A Budget'!$B$4:$B$18,0),MATCH("Forecast",'4. SG&amp;A Budget'!$B$4:$M$4,0))</f>
        <v>1330800</v>
      </c>
      <c r="D4" s="4" t="s">
        <v>35</v>
      </c>
      <c r="E4" s="2"/>
      <c r="F4" s="39">
        <v>1400000</v>
      </c>
      <c r="G4" s="39">
        <v>1500000</v>
      </c>
    </row>
    <row r="5" spans="1:7" x14ac:dyDescent="0.25">
      <c r="B5" s="12" t="s">
        <v>29</v>
      </c>
      <c r="C5" s="32">
        <f>INDEX('4. SG&amp;A Budget'!$B$5:$M$18,MATCH($B$5,'4. SG&amp;A Budget'!$B$5:$B$18,0),MATCH("Forecast",'4. SG&amp;A Budget'!$B$4:$M$4,0))</f>
        <v>25063400</v>
      </c>
      <c r="D5" s="33">
        <f>C5/$C$4</f>
        <v>18.833333333333332</v>
      </c>
      <c r="E5" s="33"/>
      <c r="F5" s="32">
        <f>D$5*$F$4</f>
        <v>26366666.666666664</v>
      </c>
      <c r="G5" s="32">
        <f>D5*$G$4</f>
        <v>28250000</v>
      </c>
    </row>
    <row r="6" spans="1:7" x14ac:dyDescent="0.25">
      <c r="B6" s="34" t="s">
        <v>32</v>
      </c>
      <c r="C6" s="34"/>
      <c r="D6" s="9"/>
      <c r="E6" s="9"/>
      <c r="F6" s="34"/>
      <c r="G6" s="34"/>
    </row>
    <row r="7" spans="1:7" x14ac:dyDescent="0.25">
      <c r="B7" s="24" t="s">
        <v>8</v>
      </c>
      <c r="C7" s="35">
        <f>INDEX('3. Cost of Goods Sold Budget'!$B$5:$M$12,MATCH(B7,'3. Cost of Goods Sold Budget'!B$5:B$12,0),MATCH("Forecast",'3. Cost of Goods Sold Budget'!$B$4:$M$4,0))</f>
        <v>-1668904.4399999997</v>
      </c>
      <c r="D7" s="36">
        <f>C7/$C$4</f>
        <v>-1.2540610459873758</v>
      </c>
      <c r="E7" s="36"/>
      <c r="F7" s="35">
        <f>D$7*$F$4</f>
        <v>-1755685.464382326</v>
      </c>
      <c r="G7" s="35">
        <f>$D7*$G$4</f>
        <v>-1881091.5689810636</v>
      </c>
    </row>
    <row r="8" spans="1:7" x14ac:dyDescent="0.25">
      <c r="B8" s="24" t="s">
        <v>9</v>
      </c>
      <c r="C8" s="35">
        <f>INDEX('3. Cost of Goods Sold Budget'!$B$5:$M$12,MATCH(B8,'3. Cost of Goods Sold Budget'!B$5:B$12,0),MATCH("Forecast",'3. Cost of Goods Sold Budget'!$B$4:$M$4,0))</f>
        <v>-4806328.1257142844</v>
      </c>
      <c r="D8" s="36">
        <f t="shared" ref="D8:D11" si="0">C8/$C$4</f>
        <v>-3.611608149770277</v>
      </c>
      <c r="E8" s="36"/>
      <c r="F8" s="35">
        <f>D$8*$F$4</f>
        <v>-5056251.4096783875</v>
      </c>
      <c r="G8" s="35">
        <f t="shared" ref="G8:G11" si="1">$D8*$G$4</f>
        <v>-5417412.2246554159</v>
      </c>
    </row>
    <row r="9" spans="1:7" x14ac:dyDescent="0.25">
      <c r="B9" s="24" t="s">
        <v>18</v>
      </c>
      <c r="C9" s="35">
        <f>INDEX('4. SG&amp;A Budget'!$B$5:$M$18,MATCH(B9,'4. SG&amp;A Budget'!B$5:B$18,0),MATCH("Forecast",'4. SG&amp;A Budget'!$B$4:$M$4,0))</f>
        <v>-1002535.9999999999</v>
      </c>
      <c r="D9" s="36">
        <f t="shared" si="0"/>
        <v>-0.7533333333333333</v>
      </c>
      <c r="E9" s="36"/>
      <c r="F9" s="35">
        <f>D$9*$F$4</f>
        <v>-1054666.6666666665</v>
      </c>
      <c r="G9" s="35">
        <f t="shared" si="1"/>
        <v>-1130000</v>
      </c>
    </row>
    <row r="10" spans="1:7" x14ac:dyDescent="0.25">
      <c r="B10" s="24" t="s">
        <v>19</v>
      </c>
      <c r="C10" s="35">
        <f>INDEX('4. SG&amp;A Budget'!$B$5:$M$18,MATCH(B10,'4. SG&amp;A Budget'!B$5:B$18,0),MATCH("Forecast",'4. SG&amp;A Budget'!$B$4:$M$4,0))</f>
        <v>-885129</v>
      </c>
      <c r="D10" s="36">
        <f t="shared" si="0"/>
        <v>-0.66511045987376016</v>
      </c>
      <c r="E10" s="36"/>
      <c r="F10" s="35">
        <f>D$10*$F$4</f>
        <v>-931154.64382326428</v>
      </c>
      <c r="G10" s="35">
        <f t="shared" si="1"/>
        <v>-997665.6898106403</v>
      </c>
    </row>
    <row r="11" spans="1:7" x14ac:dyDescent="0.25">
      <c r="B11" s="13" t="s">
        <v>12</v>
      </c>
      <c r="C11" s="23">
        <f>INDEX('3. Cost of Goods Sold Budget'!$B$5:$Q$12,MATCH(B11,'3. Cost of Goods Sold Budget'!B$5:B$12,0),MATCH("Variable Portion of Mixed Cost",'3. Cost of Goods Sold Budget'!$B$3:$Q$3,0))</f>
        <v>-160263.6719047619</v>
      </c>
      <c r="D11" s="36">
        <f t="shared" si="0"/>
        <v>-0.12042656440093319</v>
      </c>
      <c r="E11" s="36"/>
      <c r="F11" s="23">
        <f>D$11*$F$4</f>
        <v>-168597.19016130647</v>
      </c>
      <c r="G11" s="35">
        <f t="shared" si="1"/>
        <v>-180639.8466013998</v>
      </c>
    </row>
    <row r="12" spans="1:7" x14ac:dyDescent="0.25">
      <c r="B12" s="38" t="s">
        <v>34</v>
      </c>
      <c r="C12" s="68">
        <f>SUM(C7:C11)</f>
        <v>-8523161.2376190461</v>
      </c>
      <c r="D12" s="69">
        <f>SUM(D7:D11)</f>
        <v>-6.4045395533656784</v>
      </c>
      <c r="E12" s="69"/>
      <c r="F12" s="68">
        <f>SUM(F7:F11)</f>
        <v>-8966355.3747119512</v>
      </c>
      <c r="G12" s="68">
        <f>SUM(G7:G11)</f>
        <v>-9606809.3300485201</v>
      </c>
    </row>
    <row r="13" spans="1:7" x14ac:dyDescent="0.25">
      <c r="B13" s="12" t="s">
        <v>68</v>
      </c>
      <c r="C13" s="32">
        <f>C5+C12</f>
        <v>16540238.762380954</v>
      </c>
      <c r="D13" s="37">
        <f>IF((D5+D12)=(C5+C12)/C4, D5+D12,0)</f>
        <v>12.428793779967654</v>
      </c>
      <c r="E13" s="36"/>
      <c r="F13" s="32">
        <f>F5+F12</f>
        <v>17400311.291954711</v>
      </c>
      <c r="G13" s="32">
        <f>G5+G12</f>
        <v>18643190.66995148</v>
      </c>
    </row>
    <row r="14" spans="1:7" x14ac:dyDescent="0.25">
      <c r="B14" s="24" t="s">
        <v>11</v>
      </c>
      <c r="C14" s="35">
        <f>INDEX('3. Cost of Goods Sold Budget'!$B$5:$M$12,MATCH(B14,'3. Cost of Goods Sold Budget'!B$5:B$12,0),MATCH("Forecast",'3. Cost of Goods Sold Budget'!$B$4:$M$4,0))</f>
        <v>-480000</v>
      </c>
      <c r="D14" s="9"/>
      <c r="E14" s="9"/>
      <c r="F14" s="35">
        <f>$C14</f>
        <v>-480000</v>
      </c>
      <c r="G14" s="35">
        <f>$C14</f>
        <v>-480000</v>
      </c>
    </row>
    <row r="15" spans="1:7" x14ac:dyDescent="0.25">
      <c r="B15" s="24" t="s">
        <v>13</v>
      </c>
      <c r="C15" s="35">
        <f>INDEX('3. Cost of Goods Sold Budget'!$B$5:$M$12,MATCH(B15,'3. Cost of Goods Sold Budget'!B$5:B$12,0),MATCH("Forecast",'3. Cost of Goods Sold Budget'!$B$4:$M$4,0))</f>
        <v>-704900.2889193783</v>
      </c>
      <c r="D15" s="9"/>
      <c r="E15" s="9"/>
      <c r="F15" s="35">
        <f t="shared" ref="F15:G17" si="2">$C15</f>
        <v>-704900.2889193783</v>
      </c>
      <c r="G15" s="35">
        <f t="shared" si="2"/>
        <v>-704900.2889193783</v>
      </c>
    </row>
    <row r="16" spans="1:7" x14ac:dyDescent="0.25">
      <c r="B16" s="24" t="s">
        <v>20</v>
      </c>
      <c r="C16" s="35">
        <f>INDEX('4. SG&amp;A Budget'!$B$5:$M$18,MATCH(B16,'4. SG&amp;A Budget'!B$5:B$18,0),MATCH("Forecast",'4. SG&amp;A Budget'!$B$4:$M$4,0))</f>
        <v>-1176000</v>
      </c>
      <c r="D16" s="9"/>
      <c r="E16" s="9"/>
      <c r="F16" s="35">
        <f t="shared" si="2"/>
        <v>-1176000</v>
      </c>
      <c r="G16" s="35">
        <f t="shared" si="2"/>
        <v>-1176000</v>
      </c>
    </row>
    <row r="17" spans="2:7" x14ac:dyDescent="0.25">
      <c r="B17" s="24" t="s">
        <v>21</v>
      </c>
      <c r="C17" s="35">
        <f>INDEX('4. SG&amp;A Budget'!$B$5:$M$18,MATCH(B17,'4. SG&amp;A Budget'!B$5:B$18,0),MATCH("Forecast",'4. SG&amp;A Budget'!$B$4:$M$4,0))</f>
        <v>-480000</v>
      </c>
      <c r="D17" s="9"/>
      <c r="E17" s="9"/>
      <c r="F17" s="35">
        <f t="shared" si="2"/>
        <v>-480000</v>
      </c>
      <c r="G17" s="35">
        <f t="shared" si="2"/>
        <v>-480000</v>
      </c>
    </row>
    <row r="18" spans="2:7" x14ac:dyDescent="0.25">
      <c r="B18" s="38" t="s">
        <v>69</v>
      </c>
      <c r="C18" s="68">
        <f>SUM(C14:C17)</f>
        <v>-2840900.2889193781</v>
      </c>
      <c r="D18" s="70"/>
      <c r="E18" s="70"/>
      <c r="F18" s="68">
        <f>SUM(F14:F17)</f>
        <v>-2840900.2889193781</v>
      </c>
      <c r="G18" s="68">
        <f>SUM(G14:G17)</f>
        <v>-2840900.2889193781</v>
      </c>
    </row>
    <row r="19" spans="2:7" x14ac:dyDescent="0.25">
      <c r="B19" s="12" t="s">
        <v>70</v>
      </c>
      <c r="C19" s="32">
        <f>C13+C18</f>
        <v>13699338.473461576</v>
      </c>
      <c r="D19" s="37"/>
      <c r="E19" s="36"/>
      <c r="F19" s="32">
        <f>F13+F18</f>
        <v>14559411.003035333</v>
      </c>
      <c r="G19" s="32">
        <f>G13+G18</f>
        <v>15802290.381032102</v>
      </c>
    </row>
    <row r="23" spans="2:7" ht="15.75" thickBot="1" x14ac:dyDescent="0.3">
      <c r="B23" s="71" t="s">
        <v>48</v>
      </c>
      <c r="C23" s="71" t="s">
        <v>71</v>
      </c>
      <c r="D23" s="71" t="s">
        <v>34</v>
      </c>
      <c r="E23" s="71"/>
      <c r="F23" s="71" t="s">
        <v>72</v>
      </c>
      <c r="G23" s="71" t="s">
        <v>73</v>
      </c>
    </row>
    <row r="24" spans="2:7" x14ac:dyDescent="0.25">
      <c r="B24" s="9">
        <v>0</v>
      </c>
      <c r="C24" s="44">
        <f>$C$18*-1</f>
        <v>2840900.2889193781</v>
      </c>
      <c r="D24" s="44">
        <f>-$D$12*B24</f>
        <v>0</v>
      </c>
      <c r="E24" s="44"/>
      <c r="F24" s="44">
        <f>C24+D24</f>
        <v>2840900.2889193781</v>
      </c>
      <c r="G24" s="44">
        <f>B24*$D$5</f>
        <v>0</v>
      </c>
    </row>
    <row r="25" spans="2:7" x14ac:dyDescent="0.25">
      <c r="B25" s="23">
        <v>100000</v>
      </c>
      <c r="C25" s="44">
        <f t="shared" ref="C25:C45" si="3">$C$18*-1</f>
        <v>2840900.2889193781</v>
      </c>
      <c r="D25" s="44">
        <f t="shared" ref="D25:D45" si="4">-$D$12*B25</f>
        <v>640453.95533656783</v>
      </c>
      <c r="E25" s="44"/>
      <c r="F25" s="44">
        <f t="shared" ref="F25:F45" si="5">C25+D25</f>
        <v>3481354.244255946</v>
      </c>
      <c r="G25" s="44">
        <f t="shared" ref="G25:G45" si="6">B25*$D$5</f>
        <v>1883333.3333333333</v>
      </c>
    </row>
    <row r="26" spans="2:7" x14ac:dyDescent="0.25">
      <c r="B26" s="23">
        <v>200000</v>
      </c>
      <c r="C26" s="44">
        <f t="shared" si="3"/>
        <v>2840900.2889193781</v>
      </c>
      <c r="D26" s="44">
        <f t="shared" si="4"/>
        <v>1280907.9106731357</v>
      </c>
      <c r="E26" s="44"/>
      <c r="F26" s="44">
        <f t="shared" si="5"/>
        <v>4121808.199592514</v>
      </c>
      <c r="G26" s="44">
        <f t="shared" si="6"/>
        <v>3766666.6666666665</v>
      </c>
    </row>
    <row r="27" spans="2:7" x14ac:dyDescent="0.25">
      <c r="B27" s="23">
        <v>300000</v>
      </c>
      <c r="C27" s="44">
        <f t="shared" si="3"/>
        <v>2840900.2889193781</v>
      </c>
      <c r="D27" s="44">
        <f t="shared" si="4"/>
        <v>1921361.8660097036</v>
      </c>
      <c r="E27" s="44"/>
      <c r="F27" s="44">
        <f t="shared" si="5"/>
        <v>4762262.1549290819</v>
      </c>
      <c r="G27" s="44">
        <f t="shared" si="6"/>
        <v>5650000</v>
      </c>
    </row>
    <row r="28" spans="2:7" x14ac:dyDescent="0.25">
      <c r="B28" s="23">
        <v>400000</v>
      </c>
      <c r="C28" s="44">
        <f t="shared" si="3"/>
        <v>2840900.2889193781</v>
      </c>
      <c r="D28" s="44">
        <f t="shared" si="4"/>
        <v>2561815.8213462713</v>
      </c>
      <c r="E28" s="44"/>
      <c r="F28" s="44">
        <f t="shared" si="5"/>
        <v>5402716.1102656499</v>
      </c>
      <c r="G28" s="44">
        <f t="shared" si="6"/>
        <v>7533333.333333333</v>
      </c>
    </row>
    <row r="29" spans="2:7" x14ac:dyDescent="0.25">
      <c r="B29" s="23">
        <v>500000</v>
      </c>
      <c r="C29" s="44">
        <f t="shared" si="3"/>
        <v>2840900.2889193781</v>
      </c>
      <c r="D29" s="44">
        <f t="shared" si="4"/>
        <v>3202269.7766828393</v>
      </c>
      <c r="E29" s="44"/>
      <c r="F29" s="44">
        <f t="shared" si="5"/>
        <v>6043170.0656022169</v>
      </c>
      <c r="G29" s="44">
        <f t="shared" si="6"/>
        <v>9416666.666666666</v>
      </c>
    </row>
    <row r="30" spans="2:7" x14ac:dyDescent="0.25">
      <c r="B30" s="23">
        <v>600000</v>
      </c>
      <c r="C30" s="44">
        <f t="shared" si="3"/>
        <v>2840900.2889193781</v>
      </c>
      <c r="D30" s="44">
        <f t="shared" si="4"/>
        <v>3842723.7320194072</v>
      </c>
      <c r="E30" s="44"/>
      <c r="F30" s="44">
        <f t="shared" si="5"/>
        <v>6683624.0209387857</v>
      </c>
      <c r="G30" s="44">
        <f t="shared" si="6"/>
        <v>11300000</v>
      </c>
    </row>
    <row r="31" spans="2:7" x14ac:dyDescent="0.25">
      <c r="B31" s="23">
        <v>700000</v>
      </c>
      <c r="C31" s="44">
        <f t="shared" si="3"/>
        <v>2840900.2889193781</v>
      </c>
      <c r="D31" s="44">
        <f t="shared" si="4"/>
        <v>4483177.6873559747</v>
      </c>
      <c r="E31" s="44"/>
      <c r="F31" s="44">
        <f t="shared" si="5"/>
        <v>7324077.9762753528</v>
      </c>
      <c r="G31" s="44">
        <f t="shared" si="6"/>
        <v>13183333.333333332</v>
      </c>
    </row>
    <row r="32" spans="2:7" x14ac:dyDescent="0.25">
      <c r="B32" s="23">
        <v>800000</v>
      </c>
      <c r="C32" s="44">
        <f t="shared" si="3"/>
        <v>2840900.2889193781</v>
      </c>
      <c r="D32" s="44">
        <f t="shared" si="4"/>
        <v>5123631.6426925426</v>
      </c>
      <c r="E32" s="44"/>
      <c r="F32" s="44">
        <f t="shared" si="5"/>
        <v>7964531.9316119207</v>
      </c>
      <c r="G32" s="44">
        <f t="shared" si="6"/>
        <v>15066666.666666666</v>
      </c>
    </row>
    <row r="33" spans="2:7" x14ac:dyDescent="0.25">
      <c r="B33" s="23">
        <v>900000</v>
      </c>
      <c r="C33" s="44">
        <f t="shared" si="3"/>
        <v>2840900.2889193781</v>
      </c>
      <c r="D33" s="44">
        <f t="shared" si="4"/>
        <v>5764085.5980291106</v>
      </c>
      <c r="E33" s="44"/>
      <c r="F33" s="44">
        <f t="shared" si="5"/>
        <v>8604985.8869484887</v>
      </c>
      <c r="G33" s="44">
        <f t="shared" si="6"/>
        <v>16950000</v>
      </c>
    </row>
    <row r="34" spans="2:7" x14ac:dyDescent="0.25">
      <c r="B34" s="23">
        <v>1000000</v>
      </c>
      <c r="C34" s="44">
        <f t="shared" si="3"/>
        <v>2840900.2889193781</v>
      </c>
      <c r="D34" s="44">
        <f t="shared" si="4"/>
        <v>6404539.5533656785</v>
      </c>
      <c r="E34" s="44"/>
      <c r="F34" s="44">
        <f t="shared" si="5"/>
        <v>9245439.8422850557</v>
      </c>
      <c r="G34" s="44">
        <f t="shared" si="6"/>
        <v>18833333.333333332</v>
      </c>
    </row>
    <row r="35" spans="2:7" x14ac:dyDescent="0.25">
      <c r="B35" s="23">
        <v>1100000</v>
      </c>
      <c r="C35" s="44">
        <f t="shared" si="3"/>
        <v>2840900.2889193781</v>
      </c>
      <c r="D35" s="44">
        <f t="shared" si="4"/>
        <v>7044993.5087022465</v>
      </c>
      <c r="E35" s="44"/>
      <c r="F35" s="44">
        <f t="shared" si="5"/>
        <v>9885893.7976216245</v>
      </c>
      <c r="G35" s="44">
        <f t="shared" si="6"/>
        <v>20716666.666666664</v>
      </c>
    </row>
    <row r="36" spans="2:7" x14ac:dyDescent="0.25">
      <c r="B36" s="23">
        <v>1200000</v>
      </c>
      <c r="C36" s="44">
        <f t="shared" si="3"/>
        <v>2840900.2889193781</v>
      </c>
      <c r="D36" s="44">
        <f t="shared" si="4"/>
        <v>7685447.4640388144</v>
      </c>
      <c r="E36" s="44"/>
      <c r="F36" s="44">
        <f t="shared" si="5"/>
        <v>10526347.752958193</v>
      </c>
      <c r="G36" s="44">
        <f t="shared" si="6"/>
        <v>22600000</v>
      </c>
    </row>
    <row r="37" spans="2:7" x14ac:dyDescent="0.25">
      <c r="B37" s="23">
        <v>1300000</v>
      </c>
      <c r="C37" s="44">
        <f t="shared" si="3"/>
        <v>2840900.2889193781</v>
      </c>
      <c r="D37" s="44">
        <f t="shared" si="4"/>
        <v>8325901.4193753814</v>
      </c>
      <c r="E37" s="44"/>
      <c r="F37" s="44">
        <f t="shared" si="5"/>
        <v>11166801.70829476</v>
      </c>
      <c r="G37" s="44">
        <f t="shared" si="6"/>
        <v>24483333.333333332</v>
      </c>
    </row>
    <row r="38" spans="2:7" x14ac:dyDescent="0.25">
      <c r="B38" s="23">
        <v>1400000</v>
      </c>
      <c r="C38" s="44">
        <f t="shared" si="3"/>
        <v>2840900.2889193781</v>
      </c>
      <c r="D38" s="44">
        <f t="shared" si="4"/>
        <v>8966355.3747119494</v>
      </c>
      <c r="E38" s="44"/>
      <c r="F38" s="44">
        <f t="shared" si="5"/>
        <v>11807255.663631327</v>
      </c>
      <c r="G38" s="44">
        <f t="shared" si="6"/>
        <v>26366666.666666664</v>
      </c>
    </row>
    <row r="39" spans="2:7" x14ac:dyDescent="0.25">
      <c r="B39" s="23">
        <v>1500000</v>
      </c>
      <c r="C39" s="44">
        <f t="shared" si="3"/>
        <v>2840900.2889193781</v>
      </c>
      <c r="D39" s="44">
        <f t="shared" si="4"/>
        <v>9606809.3300485183</v>
      </c>
      <c r="E39" s="44"/>
      <c r="F39" s="44">
        <f t="shared" si="5"/>
        <v>12447709.618967896</v>
      </c>
      <c r="G39" s="44">
        <f t="shared" si="6"/>
        <v>28250000</v>
      </c>
    </row>
    <row r="40" spans="2:7" x14ac:dyDescent="0.25">
      <c r="B40" s="23">
        <v>1600000</v>
      </c>
      <c r="C40" s="44">
        <f t="shared" si="3"/>
        <v>2840900.2889193781</v>
      </c>
      <c r="D40" s="44">
        <f t="shared" si="4"/>
        <v>10247263.285385085</v>
      </c>
      <c r="E40" s="44"/>
      <c r="F40" s="44">
        <f t="shared" si="5"/>
        <v>13088163.574304463</v>
      </c>
      <c r="G40" s="44">
        <f t="shared" si="6"/>
        <v>30133333.333333332</v>
      </c>
    </row>
    <row r="41" spans="2:7" x14ac:dyDescent="0.25">
      <c r="B41" s="23">
        <v>1700000</v>
      </c>
      <c r="C41" s="44">
        <f t="shared" si="3"/>
        <v>2840900.2889193781</v>
      </c>
      <c r="D41" s="44">
        <f t="shared" si="4"/>
        <v>10887717.240721654</v>
      </c>
      <c r="E41" s="44"/>
      <c r="F41" s="44">
        <f t="shared" si="5"/>
        <v>13728617.529641032</v>
      </c>
      <c r="G41" s="44">
        <f t="shared" si="6"/>
        <v>32016666.666666664</v>
      </c>
    </row>
    <row r="42" spans="2:7" x14ac:dyDescent="0.25">
      <c r="B42" s="23">
        <v>1800000</v>
      </c>
      <c r="C42" s="44">
        <f t="shared" si="3"/>
        <v>2840900.2889193781</v>
      </c>
      <c r="D42" s="44">
        <f t="shared" si="4"/>
        <v>11528171.196058221</v>
      </c>
      <c r="E42" s="44"/>
      <c r="F42" s="44">
        <f t="shared" si="5"/>
        <v>14369071.484977599</v>
      </c>
      <c r="G42" s="44">
        <f t="shared" si="6"/>
        <v>33900000</v>
      </c>
    </row>
    <row r="43" spans="2:7" x14ac:dyDescent="0.25">
      <c r="B43" s="23">
        <v>1900000</v>
      </c>
      <c r="C43" s="44">
        <f t="shared" si="3"/>
        <v>2840900.2889193781</v>
      </c>
      <c r="D43" s="44">
        <f t="shared" si="4"/>
        <v>12168625.151394788</v>
      </c>
      <c r="E43" s="44"/>
      <c r="F43" s="44">
        <f t="shared" si="5"/>
        <v>15009525.440314166</v>
      </c>
      <c r="G43" s="44">
        <f t="shared" si="6"/>
        <v>35783333.333333328</v>
      </c>
    </row>
    <row r="44" spans="2:7" x14ac:dyDescent="0.25">
      <c r="B44" s="23">
        <v>2000000</v>
      </c>
      <c r="C44" s="44">
        <f t="shared" si="3"/>
        <v>2840900.2889193781</v>
      </c>
      <c r="D44" s="44">
        <f t="shared" si="4"/>
        <v>12809079.106731357</v>
      </c>
      <c r="E44" s="44"/>
      <c r="F44" s="44">
        <f t="shared" si="5"/>
        <v>15649979.395650735</v>
      </c>
      <c r="G44" s="44">
        <f t="shared" si="6"/>
        <v>37666666.666666664</v>
      </c>
    </row>
    <row r="45" spans="2:7" x14ac:dyDescent="0.25">
      <c r="B45" s="23">
        <v>2100000</v>
      </c>
      <c r="C45" s="44">
        <f t="shared" si="3"/>
        <v>2840900.2889193781</v>
      </c>
      <c r="D45" s="44">
        <f t="shared" si="4"/>
        <v>13449533.062067924</v>
      </c>
      <c r="E45" s="44"/>
      <c r="F45" s="44">
        <f t="shared" si="5"/>
        <v>16290433.350987302</v>
      </c>
      <c r="G45" s="44">
        <f t="shared" si="6"/>
        <v>39550000</v>
      </c>
    </row>
    <row r="47" spans="2:7" x14ac:dyDescent="0.25">
      <c r="B47" s="12" t="s">
        <v>74</v>
      </c>
      <c r="C47" s="32">
        <f>C24/D13</f>
        <v>228574.09489714549</v>
      </c>
      <c r="D47" s="12" t="s">
        <v>75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06A5-AE3B-4635-AF50-36957DF1AA8D}">
  <sheetPr codeName="Sheet3">
    <tabColor rgb="FF002060"/>
    <pageSetUpPr autoPageBreaks="0"/>
  </sheetPr>
  <dimension ref="A1:M54"/>
  <sheetViews>
    <sheetView zoomScaleNormal="100" workbookViewId="0">
      <selection activeCell="B1" sqref="B1"/>
    </sheetView>
  </sheetViews>
  <sheetFormatPr defaultRowHeight="15" x14ac:dyDescent="0.25"/>
  <cols>
    <col min="1" max="1" width="2.28515625" style="29" customWidth="1"/>
    <col min="2" max="2" width="23.5703125" style="29" bestFit="1" customWidth="1"/>
    <col min="3" max="5" width="13.7109375" style="29" customWidth="1"/>
    <col min="6" max="6" width="9.28515625" style="29" bestFit="1" customWidth="1"/>
    <col min="7" max="7" width="23" style="29" bestFit="1" customWidth="1"/>
    <col min="8" max="8" width="13.5703125" style="29" bestFit="1" customWidth="1"/>
    <col min="9" max="9" width="9.28515625" style="29" bestFit="1" customWidth="1"/>
    <col min="10" max="10" width="12.42578125" style="29" bestFit="1" customWidth="1"/>
    <col min="11" max="11" width="2.28515625" style="29" customWidth="1"/>
    <col min="12" max="12" width="10.28515625" style="29" bestFit="1" customWidth="1"/>
    <col min="13" max="16384" width="9.140625" style="29"/>
  </cols>
  <sheetData>
    <row r="1" spans="1:12" ht="15.75" x14ac:dyDescent="0.25">
      <c r="A1" s="28"/>
      <c r="B1" s="27" t="s">
        <v>36</v>
      </c>
    </row>
    <row r="3" spans="1:12" x14ac:dyDescent="0.25">
      <c r="B3" s="12" t="s">
        <v>41</v>
      </c>
      <c r="C3" s="12"/>
      <c r="D3" s="40">
        <f>D12</f>
        <v>0.8</v>
      </c>
      <c r="E3" s="9" t="s">
        <v>51</v>
      </c>
      <c r="F3" s="9"/>
      <c r="G3" s="9"/>
      <c r="H3" s="9"/>
      <c r="I3" s="9"/>
      <c r="J3" s="9"/>
      <c r="K3" s="9"/>
      <c r="L3" s="9"/>
    </row>
    <row r="4" spans="1:12" ht="15.75" thickBot="1" x14ac:dyDescent="0.3">
      <c r="B4" s="41"/>
      <c r="C4" s="41" t="s">
        <v>48</v>
      </c>
      <c r="D4" s="5" t="s">
        <v>37</v>
      </c>
      <c r="E4" s="41" t="s">
        <v>38</v>
      </c>
      <c r="F4" s="9"/>
      <c r="G4" s="9"/>
      <c r="H4" s="9"/>
      <c r="I4" s="9"/>
      <c r="J4" s="9"/>
      <c r="K4" s="9"/>
      <c r="L4" s="9"/>
    </row>
    <row r="5" spans="1:12" x14ac:dyDescent="0.25">
      <c r="B5" s="24" t="s">
        <v>8</v>
      </c>
      <c r="C5" s="42">
        <v>30</v>
      </c>
      <c r="D5" s="43">
        <v>4</v>
      </c>
      <c r="E5" s="44">
        <f>C5*D5</f>
        <v>120</v>
      </c>
      <c r="F5" s="9"/>
      <c r="G5" s="9"/>
      <c r="H5" s="9"/>
      <c r="I5" s="9"/>
      <c r="J5" s="9"/>
      <c r="K5" s="9"/>
      <c r="L5" s="9"/>
    </row>
    <row r="6" spans="1:12" x14ac:dyDescent="0.25">
      <c r="B6" s="24" t="s">
        <v>9</v>
      </c>
      <c r="C6" s="45">
        <v>5</v>
      </c>
      <c r="D6" s="43">
        <v>14</v>
      </c>
      <c r="E6" s="44">
        <f t="shared" ref="E6:E8" si="0">C6*D6</f>
        <v>70</v>
      </c>
      <c r="F6" s="9"/>
      <c r="G6" s="9"/>
      <c r="H6" s="9"/>
      <c r="I6" s="9"/>
      <c r="J6" s="9"/>
      <c r="K6" s="9"/>
      <c r="L6" s="9"/>
    </row>
    <row r="7" spans="1:12" x14ac:dyDescent="0.25">
      <c r="B7" s="24" t="s">
        <v>39</v>
      </c>
      <c r="C7" s="45">
        <v>5</v>
      </c>
      <c r="D7" s="43">
        <f>D15/D14</f>
        <v>7.9999999999999991</v>
      </c>
      <c r="E7" s="44">
        <f t="shared" si="0"/>
        <v>39.999999999999993</v>
      </c>
      <c r="F7" s="9"/>
      <c r="G7" s="9"/>
      <c r="H7" s="9"/>
      <c r="I7" s="9"/>
      <c r="J7" s="9"/>
      <c r="K7" s="9"/>
      <c r="L7" s="9"/>
    </row>
    <row r="8" spans="1:12" x14ac:dyDescent="0.25">
      <c r="B8" s="24" t="s">
        <v>40</v>
      </c>
      <c r="C8" s="45">
        <v>5</v>
      </c>
      <c r="D8" s="43">
        <f>D16/D14</f>
        <v>9.9999999999999982</v>
      </c>
      <c r="E8" s="44">
        <f t="shared" si="0"/>
        <v>49.999999999999993</v>
      </c>
      <c r="F8" s="9"/>
      <c r="G8" s="9"/>
      <c r="H8" s="9"/>
      <c r="I8" s="9"/>
      <c r="J8" s="9"/>
      <c r="K8" s="9"/>
      <c r="L8" s="9"/>
    </row>
    <row r="9" spans="1:12" ht="15.75" thickBot="1" x14ac:dyDescent="0.3">
      <c r="B9" s="46" t="s">
        <v>53</v>
      </c>
      <c r="C9" s="46"/>
      <c r="D9" s="47"/>
      <c r="E9" s="48">
        <f>SUM(E5:E8)</f>
        <v>280</v>
      </c>
      <c r="F9" s="9"/>
      <c r="G9" s="9"/>
      <c r="H9" s="9"/>
      <c r="I9" s="9"/>
      <c r="J9" s="9"/>
      <c r="K9" s="9"/>
      <c r="L9" s="9"/>
    </row>
    <row r="10" spans="1:12" x14ac:dyDescent="0.25">
      <c r="B10" s="9"/>
      <c r="C10" s="9"/>
      <c r="D10" s="49"/>
      <c r="E10" s="9"/>
      <c r="F10" s="9"/>
      <c r="G10" s="9"/>
      <c r="H10" s="9"/>
      <c r="I10" s="9"/>
      <c r="J10" s="9"/>
      <c r="K10" s="9"/>
      <c r="L10" s="9"/>
    </row>
    <row r="11" spans="1:12" x14ac:dyDescent="0.25">
      <c r="B11" s="12" t="s">
        <v>28</v>
      </c>
      <c r="C11" s="9"/>
      <c r="D11" s="49"/>
      <c r="E11" s="9"/>
      <c r="F11" s="9"/>
      <c r="G11" s="12" t="s">
        <v>46</v>
      </c>
      <c r="H11" s="9"/>
      <c r="I11" s="9"/>
      <c r="J11" s="9"/>
      <c r="K11" s="9"/>
      <c r="L11" s="9"/>
    </row>
    <row r="12" spans="1:12" x14ac:dyDescent="0.25">
      <c r="B12" s="9" t="s">
        <v>42</v>
      </c>
      <c r="C12" s="40">
        <v>0.7</v>
      </c>
      <c r="D12" s="50">
        <v>0.8</v>
      </c>
      <c r="E12" s="40">
        <v>0.9</v>
      </c>
      <c r="F12" s="9"/>
      <c r="G12" s="40">
        <v>0.9</v>
      </c>
      <c r="H12" s="9"/>
      <c r="I12" s="9"/>
      <c r="J12" s="9"/>
      <c r="K12" s="9"/>
      <c r="L12" s="9"/>
    </row>
    <row r="13" spans="1:12" x14ac:dyDescent="0.25">
      <c r="B13" s="9" t="s">
        <v>44</v>
      </c>
      <c r="C13" s="51">
        <v>42000</v>
      </c>
      <c r="D13" s="52">
        <f>$C$13*D12/$C$12</f>
        <v>48000</v>
      </c>
      <c r="E13" s="51">
        <f>$C$13*E12/$C$12</f>
        <v>54000</v>
      </c>
      <c r="F13" s="9"/>
      <c r="G13" s="51">
        <v>54000</v>
      </c>
      <c r="H13" s="9"/>
      <c r="I13" s="9"/>
      <c r="J13" s="9"/>
      <c r="K13" s="9"/>
      <c r="L13" s="9"/>
    </row>
    <row r="14" spans="1:12" x14ac:dyDescent="0.25">
      <c r="B14" s="9" t="s">
        <v>43</v>
      </c>
      <c r="C14" s="45">
        <v>210000</v>
      </c>
      <c r="D14" s="53">
        <f>$C$14*D12/$C$12</f>
        <v>240000.00000000003</v>
      </c>
      <c r="E14" s="45">
        <f>$C$14*E12/$C$12</f>
        <v>270000</v>
      </c>
      <c r="F14" s="9"/>
      <c r="G14" s="51">
        <v>265000</v>
      </c>
      <c r="H14" s="9"/>
      <c r="I14" s="9"/>
      <c r="J14" s="9"/>
      <c r="K14" s="9"/>
      <c r="L14" s="9"/>
    </row>
    <row r="15" spans="1:12" x14ac:dyDescent="0.25">
      <c r="B15" s="9" t="s">
        <v>45</v>
      </c>
      <c r="C15" s="44">
        <f>$D$7*C$14</f>
        <v>1679999.9999999998</v>
      </c>
      <c r="D15" s="43">
        <v>1920000</v>
      </c>
      <c r="E15" s="44">
        <f>$D$7*E$14</f>
        <v>2159999.9999999995</v>
      </c>
      <c r="F15" s="9"/>
      <c r="G15" s="54"/>
      <c r="H15" s="9"/>
      <c r="I15" s="9"/>
      <c r="J15" s="9"/>
      <c r="K15" s="9"/>
      <c r="L15" s="9"/>
    </row>
    <row r="16" spans="1:12" x14ac:dyDescent="0.25">
      <c r="B16" s="9" t="s">
        <v>47</v>
      </c>
      <c r="C16" s="44">
        <v>2400000</v>
      </c>
      <c r="D16" s="43">
        <f>$C$16</f>
        <v>2400000</v>
      </c>
      <c r="E16" s="44">
        <f>$C$16</f>
        <v>2400000</v>
      </c>
      <c r="F16" s="9"/>
      <c r="G16" s="9"/>
      <c r="H16" s="9"/>
      <c r="I16" s="9"/>
      <c r="J16" s="9"/>
      <c r="K16" s="9"/>
      <c r="L16" s="9"/>
    </row>
    <row r="17" spans="2:13" x14ac:dyDescent="0.2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</row>
    <row r="18" spans="2:13" x14ac:dyDescent="0.25">
      <c r="B18" s="12" t="s">
        <v>50</v>
      </c>
      <c r="C18" s="55">
        <f>G12</f>
        <v>0.9</v>
      </c>
      <c r="D18" s="9" t="s">
        <v>51</v>
      </c>
      <c r="E18" s="9"/>
      <c r="F18" s="9"/>
      <c r="G18" s="12" t="s">
        <v>49</v>
      </c>
      <c r="H18" s="40">
        <f>G12</f>
        <v>0.9</v>
      </c>
      <c r="I18" s="9" t="s">
        <v>51</v>
      </c>
      <c r="J18" s="9"/>
      <c r="K18" s="9"/>
      <c r="L18" s="9"/>
    </row>
    <row r="19" spans="2:13" ht="15.75" thickBot="1" x14ac:dyDescent="0.3">
      <c r="B19" s="41"/>
      <c r="C19" s="41" t="s">
        <v>48</v>
      </c>
      <c r="D19" s="5" t="s">
        <v>37</v>
      </c>
      <c r="E19" s="41" t="s">
        <v>38</v>
      </c>
      <c r="F19" s="9"/>
      <c r="G19" s="41"/>
      <c r="H19" s="41" t="s">
        <v>48</v>
      </c>
      <c r="I19" s="5" t="s">
        <v>37</v>
      </c>
      <c r="J19" s="41" t="s">
        <v>38</v>
      </c>
      <c r="K19" s="9"/>
      <c r="L19" s="41" t="s">
        <v>52</v>
      </c>
    </row>
    <row r="20" spans="2:13" x14ac:dyDescent="0.25">
      <c r="B20" s="24" t="s">
        <v>8</v>
      </c>
      <c r="C20" s="42">
        <f>C5*$E$13</f>
        <v>1620000</v>
      </c>
      <c r="D20" s="44">
        <v>4</v>
      </c>
      <c r="E20" s="44">
        <f>C20*D20</f>
        <v>6480000</v>
      </c>
      <c r="F20" s="9"/>
      <c r="G20" s="24" t="s">
        <v>8</v>
      </c>
      <c r="H20" s="42">
        <v>1615000</v>
      </c>
      <c r="I20" s="56">
        <v>4.0999999999999996</v>
      </c>
      <c r="J20" s="44">
        <f>H20*I20</f>
        <v>6621499.9999999991</v>
      </c>
      <c r="K20" s="9"/>
      <c r="L20" s="44">
        <f>J20-E20</f>
        <v>141499.99999999907</v>
      </c>
    </row>
    <row r="21" spans="2:13" x14ac:dyDescent="0.25">
      <c r="B21" s="24" t="s">
        <v>9</v>
      </c>
      <c r="C21" s="45">
        <f>C6*$E$13</f>
        <v>270000</v>
      </c>
      <c r="D21" s="44">
        <v>14</v>
      </c>
      <c r="E21" s="44">
        <f t="shared" ref="E21" si="1">C21*D21</f>
        <v>3780000</v>
      </c>
      <c r="F21" s="9"/>
      <c r="G21" s="24" t="s">
        <v>9</v>
      </c>
      <c r="H21" s="45">
        <v>265000</v>
      </c>
      <c r="I21" s="56">
        <v>13.75</v>
      </c>
      <c r="J21" s="44">
        <f>H21*I21</f>
        <v>3643750</v>
      </c>
      <c r="K21" s="9"/>
      <c r="L21" s="44">
        <f t="shared" ref="L21:L23" si="2">J21-E21</f>
        <v>-136250</v>
      </c>
    </row>
    <row r="22" spans="2:13" x14ac:dyDescent="0.25">
      <c r="B22" s="24" t="s">
        <v>39</v>
      </c>
      <c r="C22" s="45">
        <f>C6*$E$13</f>
        <v>270000</v>
      </c>
      <c r="D22" s="44">
        <f>D7</f>
        <v>7.9999999999999991</v>
      </c>
      <c r="E22" s="44">
        <f>C22*D22</f>
        <v>2159999.9999999995</v>
      </c>
      <c r="F22" s="9"/>
      <c r="G22" s="24" t="s">
        <v>39</v>
      </c>
      <c r="H22" s="45"/>
      <c r="I22" s="57"/>
      <c r="J22" s="44">
        <v>2350000</v>
      </c>
      <c r="K22" s="9"/>
      <c r="L22" s="44">
        <f t="shared" si="2"/>
        <v>190000.00000000047</v>
      </c>
    </row>
    <row r="23" spans="2:13" x14ac:dyDescent="0.25">
      <c r="B23" s="24" t="s">
        <v>40</v>
      </c>
      <c r="C23" s="58"/>
      <c r="D23" s="9"/>
      <c r="E23" s="44">
        <f>E16</f>
        <v>2400000</v>
      </c>
      <c r="F23" s="9"/>
      <c r="G23" s="24" t="s">
        <v>40</v>
      </c>
      <c r="H23" s="45"/>
      <c r="I23" s="57"/>
      <c r="J23" s="44">
        <v>2200000</v>
      </c>
      <c r="K23" s="9"/>
      <c r="L23" s="44">
        <f t="shared" si="2"/>
        <v>-200000</v>
      </c>
      <c r="M23" s="31"/>
    </row>
    <row r="24" spans="2:13" ht="15.75" thickBot="1" x14ac:dyDescent="0.3">
      <c r="B24" s="9"/>
      <c r="C24" s="9"/>
      <c r="D24" s="9"/>
      <c r="E24" s="44">
        <f>SUM(E20:E23)</f>
        <v>14820000</v>
      </c>
      <c r="F24" s="9"/>
      <c r="G24" s="46" t="s">
        <v>32</v>
      </c>
      <c r="H24" s="46"/>
      <c r="I24" s="59"/>
      <c r="J24" s="48">
        <f>SUM(J20:J23)</f>
        <v>14815250</v>
      </c>
      <c r="K24" s="9"/>
      <c r="L24" s="48">
        <f>SUM(L20:L23)</f>
        <v>-4750.0000000004657</v>
      </c>
    </row>
    <row r="25" spans="2:13" x14ac:dyDescent="0.2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</row>
    <row r="26" spans="2:13" x14ac:dyDescent="0.2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</row>
    <row r="27" spans="2:13" x14ac:dyDescent="0.25">
      <c r="B27" s="12" t="s">
        <v>54</v>
      </c>
      <c r="C27" s="9"/>
      <c r="D27" s="9"/>
      <c r="E27" s="9"/>
      <c r="F27" s="9"/>
      <c r="G27" s="9"/>
      <c r="H27" s="9"/>
      <c r="I27" s="9"/>
      <c r="J27" s="9"/>
      <c r="K27" s="9"/>
      <c r="L27" s="9"/>
    </row>
    <row r="28" spans="2:13" ht="15.75" thickBot="1" x14ac:dyDescent="0.3">
      <c r="B28" s="60" t="s">
        <v>55</v>
      </c>
      <c r="C28" s="60" t="s">
        <v>56</v>
      </c>
      <c r="D28" s="61"/>
      <c r="E28" s="60" t="s">
        <v>55</v>
      </c>
      <c r="F28" s="60" t="s">
        <v>57</v>
      </c>
      <c r="G28" s="61"/>
      <c r="H28" s="60" t="s">
        <v>58</v>
      </c>
      <c r="I28" s="60" t="s">
        <v>57</v>
      </c>
      <c r="J28" s="9"/>
      <c r="K28" s="9"/>
      <c r="L28" s="9"/>
    </row>
    <row r="29" spans="2:13" x14ac:dyDescent="0.25">
      <c r="B29" s="62">
        <f>H20</f>
        <v>1615000</v>
      </c>
      <c r="C29" s="63">
        <f>I20</f>
        <v>4.0999999999999996</v>
      </c>
      <c r="D29" s="9"/>
      <c r="E29" s="62">
        <f>H20</f>
        <v>1615000</v>
      </c>
      <c r="F29" s="44">
        <f>D20</f>
        <v>4</v>
      </c>
      <c r="G29" s="9"/>
      <c r="H29" s="62">
        <f>C20</f>
        <v>1620000</v>
      </c>
      <c r="I29" s="44">
        <f>D20</f>
        <v>4</v>
      </c>
      <c r="J29" s="9"/>
      <c r="K29" s="9"/>
      <c r="L29" s="9"/>
    </row>
    <row r="30" spans="2:13" x14ac:dyDescent="0.25">
      <c r="B30" s="64">
        <f>B29*C29</f>
        <v>6621499.9999999991</v>
      </c>
      <c r="C30" s="65"/>
      <c r="D30" s="9"/>
      <c r="E30" s="64">
        <f>E29*F29</f>
        <v>6460000</v>
      </c>
      <c r="F30" s="65"/>
      <c r="G30" s="9"/>
      <c r="H30" s="64">
        <f>H29*I29</f>
        <v>6480000</v>
      </c>
      <c r="I30" s="65"/>
      <c r="J30" s="9"/>
      <c r="K30" s="9"/>
      <c r="L30" s="9"/>
    </row>
    <row r="31" spans="2:13" ht="15.75" thickBot="1" x14ac:dyDescent="0.3">
      <c r="B31" s="9"/>
      <c r="C31" s="9"/>
      <c r="D31" s="66">
        <f>B30-E30</f>
        <v>161499.99999999907</v>
      </c>
      <c r="E31" s="9"/>
      <c r="F31" s="9"/>
      <c r="G31" s="66">
        <f>E30-H30</f>
        <v>-20000</v>
      </c>
      <c r="H31" s="9"/>
      <c r="I31" s="9"/>
      <c r="J31" s="9"/>
      <c r="K31" s="9"/>
      <c r="L31" s="9"/>
    </row>
    <row r="32" spans="2:13" x14ac:dyDescent="0.2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</row>
    <row r="33" spans="2:12" x14ac:dyDescent="0.25">
      <c r="B33" s="12" t="s">
        <v>59</v>
      </c>
      <c r="C33" s="12"/>
      <c r="D33" s="57">
        <f>D31</f>
        <v>161499.99999999907</v>
      </c>
      <c r="E33" s="67" t="str">
        <f>IF(D33&gt;0, "U", "F")</f>
        <v>U</v>
      </c>
      <c r="F33" s="9"/>
      <c r="G33" s="9"/>
      <c r="H33" s="9"/>
      <c r="I33" s="9"/>
      <c r="J33" s="9"/>
      <c r="K33" s="9"/>
      <c r="L33" s="9"/>
    </row>
    <row r="34" spans="2:12" x14ac:dyDescent="0.25">
      <c r="B34" s="12" t="s">
        <v>60</v>
      </c>
      <c r="C34" s="12"/>
      <c r="D34" s="57">
        <f>G31</f>
        <v>-20000</v>
      </c>
      <c r="E34" s="67" t="str">
        <f>IF(D34&gt;0, "U", "F")</f>
        <v>F</v>
      </c>
      <c r="F34" s="9"/>
      <c r="G34" s="9"/>
      <c r="H34" s="9"/>
      <c r="I34" s="9"/>
      <c r="J34" s="9"/>
      <c r="K34" s="9"/>
      <c r="L34" s="9"/>
    </row>
    <row r="35" spans="2:12" x14ac:dyDescent="0.25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</row>
    <row r="36" spans="2:12" x14ac:dyDescent="0.2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</row>
    <row r="37" spans="2:12" x14ac:dyDescent="0.25">
      <c r="B37" s="12" t="s">
        <v>61</v>
      </c>
      <c r="C37" s="9"/>
      <c r="D37" s="9"/>
      <c r="E37" s="9"/>
      <c r="F37" s="9"/>
      <c r="G37" s="9"/>
      <c r="H37" s="9"/>
      <c r="I37" s="9"/>
      <c r="J37" s="9"/>
      <c r="K37" s="9"/>
      <c r="L37" s="9"/>
    </row>
    <row r="38" spans="2:12" ht="15.75" thickBot="1" x14ac:dyDescent="0.3">
      <c r="B38" s="60" t="s">
        <v>55</v>
      </c>
      <c r="C38" s="60" t="s">
        <v>56</v>
      </c>
      <c r="D38" s="61"/>
      <c r="E38" s="60" t="s">
        <v>55</v>
      </c>
      <c r="F38" s="60" t="s">
        <v>57</v>
      </c>
      <c r="G38" s="61"/>
      <c r="H38" s="60" t="s">
        <v>58</v>
      </c>
      <c r="I38" s="60" t="s">
        <v>57</v>
      </c>
      <c r="J38" s="9"/>
      <c r="K38" s="9"/>
      <c r="L38" s="9"/>
    </row>
    <row r="39" spans="2:12" x14ac:dyDescent="0.25">
      <c r="B39" s="58">
        <f>H21</f>
        <v>265000</v>
      </c>
      <c r="C39" s="63">
        <f>I21</f>
        <v>13.75</v>
      </c>
      <c r="D39" s="9"/>
      <c r="E39" s="58">
        <f>H21</f>
        <v>265000</v>
      </c>
      <c r="F39" s="44">
        <f>D21</f>
        <v>14</v>
      </c>
      <c r="G39" s="9"/>
      <c r="H39" s="58">
        <f>C21</f>
        <v>270000</v>
      </c>
      <c r="I39" s="44">
        <f>D21</f>
        <v>14</v>
      </c>
      <c r="J39" s="9"/>
      <c r="K39" s="9"/>
      <c r="L39" s="9"/>
    </row>
    <row r="40" spans="2:12" x14ac:dyDescent="0.25">
      <c r="B40" s="64">
        <f>B39*C39</f>
        <v>3643750</v>
      </c>
      <c r="C40" s="65"/>
      <c r="D40" s="9"/>
      <c r="E40" s="64">
        <f>E39*F39</f>
        <v>3710000</v>
      </c>
      <c r="F40" s="65"/>
      <c r="G40" s="9"/>
      <c r="H40" s="64">
        <f>H39*I39</f>
        <v>3780000</v>
      </c>
      <c r="I40" s="65"/>
      <c r="J40" s="9"/>
      <c r="K40" s="9"/>
      <c r="L40" s="9"/>
    </row>
    <row r="41" spans="2:12" ht="15.75" thickBot="1" x14ac:dyDescent="0.3">
      <c r="B41" s="9"/>
      <c r="C41" s="9"/>
      <c r="D41" s="66">
        <f>B40-E40</f>
        <v>-66250</v>
      </c>
      <c r="E41" s="9"/>
      <c r="F41" s="9"/>
      <c r="G41" s="66">
        <f>E40-H40</f>
        <v>-70000</v>
      </c>
      <c r="H41" s="9"/>
      <c r="I41" s="9"/>
      <c r="J41" s="9"/>
      <c r="K41" s="9"/>
      <c r="L41" s="9"/>
    </row>
    <row r="42" spans="2:12" x14ac:dyDescent="0.25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</row>
    <row r="43" spans="2:12" x14ac:dyDescent="0.25">
      <c r="B43" s="12" t="s">
        <v>59</v>
      </c>
      <c r="C43" s="12"/>
      <c r="D43" s="57">
        <f>D41</f>
        <v>-66250</v>
      </c>
      <c r="E43" s="67" t="str">
        <f>IF(D43&gt;0, "U", "F")</f>
        <v>F</v>
      </c>
      <c r="F43" s="9"/>
      <c r="G43" s="9"/>
      <c r="H43" s="9"/>
      <c r="I43" s="9"/>
      <c r="J43" s="9"/>
      <c r="K43" s="9"/>
      <c r="L43" s="9"/>
    </row>
    <row r="44" spans="2:12" x14ac:dyDescent="0.25">
      <c r="B44" s="12" t="s">
        <v>60</v>
      </c>
      <c r="C44" s="12"/>
      <c r="D44" s="57">
        <f>G41</f>
        <v>-70000</v>
      </c>
      <c r="E44" s="67" t="str">
        <f>IF(D44&gt;0, "U", "F")</f>
        <v>F</v>
      </c>
      <c r="F44" s="9"/>
      <c r="G44" s="9"/>
      <c r="H44" s="9"/>
      <c r="I44" s="9"/>
      <c r="J44" s="9"/>
      <c r="K44" s="9"/>
      <c r="L44" s="9"/>
    </row>
    <row r="45" spans="2:12" x14ac:dyDescent="0.25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</row>
    <row r="46" spans="2:12" x14ac:dyDescent="0.25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</row>
    <row r="47" spans="2:12" x14ac:dyDescent="0.25">
      <c r="B47" s="12" t="s">
        <v>62</v>
      </c>
      <c r="C47" s="9"/>
      <c r="D47" s="9"/>
      <c r="E47" s="9"/>
      <c r="F47" s="9"/>
      <c r="G47" s="9"/>
      <c r="H47" s="9"/>
      <c r="I47" s="9"/>
      <c r="J47" s="9"/>
      <c r="K47" s="9"/>
      <c r="L47" s="9"/>
    </row>
    <row r="48" spans="2:12" x14ac:dyDescent="0.25">
      <c r="B48" s="9" t="s">
        <v>63</v>
      </c>
      <c r="C48" s="44">
        <f>SUM(J22:J23)</f>
        <v>4550000</v>
      </c>
      <c r="D48" s="9"/>
      <c r="E48" s="9"/>
      <c r="F48" s="9"/>
      <c r="G48" s="9"/>
      <c r="H48" s="9"/>
      <c r="I48" s="9"/>
      <c r="J48" s="9"/>
      <c r="K48" s="9"/>
      <c r="L48" s="9"/>
    </row>
    <row r="49" spans="2:12" x14ac:dyDescent="0.25">
      <c r="B49" s="9" t="s">
        <v>64</v>
      </c>
      <c r="C49" s="44">
        <f>SUM(E22:E23)</f>
        <v>4560000</v>
      </c>
      <c r="D49" s="9"/>
      <c r="E49" s="9"/>
      <c r="F49" s="9"/>
      <c r="G49" s="9"/>
      <c r="H49" s="9"/>
      <c r="I49" s="9"/>
      <c r="J49" s="9"/>
      <c r="K49" s="9"/>
      <c r="L49" s="9"/>
    </row>
    <row r="50" spans="2:12" x14ac:dyDescent="0.25">
      <c r="B50" s="12" t="s">
        <v>65</v>
      </c>
      <c r="C50" s="57">
        <f>C48-C49</f>
        <v>-10000</v>
      </c>
      <c r="D50" s="67" t="str">
        <f>IF(C50&gt;0, "U", "F")</f>
        <v>F</v>
      </c>
      <c r="E50" s="9"/>
      <c r="F50" s="9"/>
      <c r="G50" s="9"/>
      <c r="H50" s="9"/>
      <c r="I50" s="9"/>
      <c r="J50" s="9"/>
      <c r="K50" s="9"/>
      <c r="L50" s="9"/>
    </row>
    <row r="51" spans="2:12" x14ac:dyDescent="0.25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</row>
    <row r="52" spans="2:12" x14ac:dyDescent="0.25">
      <c r="B52" s="9" t="s">
        <v>67</v>
      </c>
      <c r="C52" s="44">
        <f>E16</f>
        <v>2400000</v>
      </c>
      <c r="D52" s="9"/>
      <c r="E52" s="9"/>
      <c r="F52" s="9"/>
      <c r="G52" s="9"/>
      <c r="H52" s="9"/>
      <c r="I52" s="9"/>
      <c r="J52" s="9"/>
      <c r="K52" s="9"/>
      <c r="L52" s="9"/>
    </row>
    <row r="53" spans="2:12" x14ac:dyDescent="0.25">
      <c r="B53" s="9" t="s">
        <v>66</v>
      </c>
      <c r="C53" s="44">
        <f>D8*E14</f>
        <v>2699999.9999999995</v>
      </c>
      <c r="D53" s="9"/>
      <c r="E53" s="9"/>
      <c r="F53" s="9"/>
      <c r="G53" s="9"/>
      <c r="H53" s="9"/>
      <c r="I53" s="9"/>
      <c r="J53" s="9"/>
      <c r="K53" s="9"/>
      <c r="L53" s="9"/>
    </row>
    <row r="54" spans="2:12" x14ac:dyDescent="0.25">
      <c r="B54" s="12" t="s">
        <v>60</v>
      </c>
      <c r="C54" s="57">
        <f>C52-C53</f>
        <v>-299999.99999999953</v>
      </c>
      <c r="D54" s="67" t="str">
        <f>IF(C54&gt;0, "U", "F")</f>
        <v>F</v>
      </c>
      <c r="E54" s="9"/>
      <c r="F54" s="9"/>
      <c r="G54" s="9"/>
      <c r="H54" s="9"/>
      <c r="I54" s="9"/>
      <c r="J54" s="9"/>
      <c r="K54" s="9"/>
      <c r="L54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Static Budget</vt:lpstr>
      <vt:lpstr>3. Cost of Goods Sold Budget</vt:lpstr>
      <vt:lpstr>4. SG&amp;A Budget</vt:lpstr>
      <vt:lpstr>Flexible Budget</vt:lpstr>
      <vt:lpstr>Variance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Jason Lee</cp:lastModifiedBy>
  <cp:lastPrinted>2023-09-17T01:35:48Z</cp:lastPrinted>
  <dcterms:created xsi:type="dcterms:W3CDTF">2023-05-16T01:30:30Z</dcterms:created>
  <dcterms:modified xsi:type="dcterms:W3CDTF">2023-09-17T23:39:21Z</dcterms:modified>
</cp:coreProperties>
</file>